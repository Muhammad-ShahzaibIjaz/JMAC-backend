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E:\Jen_McMahon\backend\utils\"/>
    </mc:Choice>
  </mc:AlternateContent>
  <xr:revisionPtr revIDLastSave="0" documentId="8_{4A6272C6-B02A-4D67-B42D-B0172E22F659}" xr6:coauthVersionLast="36" xr6:coauthVersionMax="36" xr10:uidLastSave="{00000000-0000-0000-0000-000000000000}"/>
  <bookViews>
    <workbookView xWindow="0" yWindow="0" windowWidth="23040" windowHeight="9372"/>
  </bookViews>
  <sheets>
    <sheet name="CIPCode2020" sheetId="1" r:id="rId1"/>
  </sheets>
  <calcPr calcId="0"/>
</workbook>
</file>

<file path=xl/calcChain.xml><?xml version="1.0" encoding="utf-8"?>
<calcChain xmlns="http://schemas.openxmlformats.org/spreadsheetml/2006/main">
  <c r="A2" i="1" l="1"/>
  <c r="B2" i="1"/>
  <c r="A3" i="1"/>
  <c r="B3" i="1"/>
  <c r="A4" i="1"/>
  <c r="B4" i="1"/>
  <c r="A5" i="1"/>
  <c r="B5" i="1"/>
  <c r="A6" i="1"/>
  <c r="B6" i="1"/>
  <c r="A7" i="1"/>
  <c r="B7" i="1"/>
  <c r="A8" i="1"/>
  <c r="B8" i="1"/>
  <c r="A9" i="1"/>
  <c r="B9" i="1"/>
  <c r="A10" i="1"/>
  <c r="B10" i="1"/>
  <c r="A11" i="1"/>
  <c r="B11" i="1"/>
  <c r="A12" i="1"/>
  <c r="B12" i="1"/>
  <c r="A13" i="1"/>
  <c r="B13" i="1"/>
  <c r="A14" i="1"/>
  <c r="B14" i="1"/>
  <c r="A15" i="1"/>
  <c r="B15" i="1"/>
  <c r="A16" i="1"/>
  <c r="B16" i="1"/>
  <c r="A17" i="1"/>
  <c r="B17"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A44" i="1"/>
  <c r="B44" i="1"/>
  <c r="A45" i="1"/>
  <c r="B45" i="1"/>
  <c r="A46" i="1"/>
  <c r="B46" i="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A74" i="1"/>
  <c r="B74" i="1"/>
  <c r="A75" i="1"/>
  <c r="B75" i="1"/>
  <c r="A76" i="1"/>
  <c r="B76" i="1"/>
  <c r="A77" i="1"/>
  <c r="B77" i="1"/>
  <c r="A78" i="1"/>
  <c r="B78" i="1"/>
  <c r="A79" i="1"/>
  <c r="B79" i="1"/>
  <c r="A80" i="1"/>
  <c r="B80" i="1"/>
  <c r="A81" i="1"/>
  <c r="B81" i="1"/>
  <c r="A82" i="1"/>
  <c r="B82" i="1"/>
  <c r="A83" i="1"/>
  <c r="B83" i="1"/>
  <c r="A84" i="1"/>
  <c r="B84" i="1"/>
  <c r="A85" i="1"/>
  <c r="B85" i="1"/>
  <c r="A86" i="1"/>
  <c r="B86" i="1"/>
  <c r="A87" i="1"/>
  <c r="B87" i="1"/>
  <c r="A88" i="1"/>
  <c r="B88" i="1"/>
  <c r="A89" i="1"/>
  <c r="B89" i="1"/>
  <c r="A90" i="1"/>
  <c r="B90" i="1"/>
  <c r="A91" i="1"/>
  <c r="B91" i="1"/>
  <c r="A92" i="1"/>
  <c r="B92" i="1"/>
  <c r="A93" i="1"/>
  <c r="B93" i="1"/>
  <c r="A94" i="1"/>
  <c r="B94" i="1"/>
  <c r="A95" i="1"/>
  <c r="B95" i="1"/>
  <c r="A96" i="1"/>
  <c r="B96" i="1"/>
  <c r="A97" i="1"/>
  <c r="B97" i="1"/>
  <c r="A98" i="1"/>
  <c r="B98" i="1"/>
  <c r="A99" i="1"/>
  <c r="B99" i="1"/>
  <c r="A100" i="1"/>
  <c r="B100" i="1"/>
  <c r="A101" i="1"/>
  <c r="B101" i="1"/>
  <c r="A102" i="1"/>
  <c r="B102" i="1"/>
  <c r="A103" i="1"/>
  <c r="B103" i="1"/>
  <c r="A104" i="1"/>
  <c r="B104" i="1"/>
  <c r="A105" i="1"/>
  <c r="B105" i="1"/>
  <c r="A106" i="1"/>
  <c r="B106" i="1"/>
  <c r="A107" i="1"/>
  <c r="B107" i="1"/>
  <c r="A108" i="1"/>
  <c r="B108" i="1"/>
  <c r="A109" i="1"/>
  <c r="B109" i="1"/>
  <c r="A110" i="1"/>
  <c r="B110" i="1"/>
  <c r="A111" i="1"/>
  <c r="B111" i="1"/>
  <c r="A112" i="1"/>
  <c r="B112" i="1"/>
  <c r="A113" i="1"/>
  <c r="B113" i="1"/>
  <c r="A114" i="1"/>
  <c r="B114" i="1"/>
  <c r="A115" i="1"/>
  <c r="B115" i="1"/>
  <c r="A116" i="1"/>
  <c r="B116" i="1"/>
  <c r="A117" i="1"/>
  <c r="B117" i="1"/>
  <c r="A118" i="1"/>
  <c r="B118" i="1"/>
  <c r="A119" i="1"/>
  <c r="B119" i="1"/>
  <c r="A120" i="1"/>
  <c r="B120" i="1"/>
  <c r="A121" i="1"/>
  <c r="B121" i="1"/>
  <c r="A122" i="1"/>
  <c r="B122" i="1"/>
  <c r="A123" i="1"/>
  <c r="B123" i="1"/>
  <c r="A124" i="1"/>
  <c r="B124" i="1"/>
  <c r="A125" i="1"/>
  <c r="B125" i="1"/>
  <c r="A126" i="1"/>
  <c r="B126" i="1"/>
  <c r="A127" i="1"/>
  <c r="B127" i="1"/>
  <c r="A128" i="1"/>
  <c r="B128" i="1"/>
  <c r="A129" i="1"/>
  <c r="B129" i="1"/>
  <c r="A130" i="1"/>
  <c r="B130" i="1"/>
  <c r="A131" i="1"/>
  <c r="B131" i="1"/>
  <c r="A132" i="1"/>
  <c r="B132" i="1"/>
  <c r="A133" i="1"/>
  <c r="B133" i="1"/>
  <c r="A134" i="1"/>
  <c r="B134" i="1"/>
  <c r="A135" i="1"/>
  <c r="B135" i="1"/>
  <c r="A136" i="1"/>
  <c r="B136" i="1"/>
  <c r="A137" i="1"/>
  <c r="B137" i="1"/>
  <c r="A138" i="1"/>
  <c r="B138" i="1"/>
  <c r="A139" i="1"/>
  <c r="B139" i="1"/>
  <c r="A140" i="1"/>
  <c r="B140" i="1"/>
  <c r="A141" i="1"/>
  <c r="B141" i="1"/>
  <c r="A142" i="1"/>
  <c r="B142" i="1"/>
  <c r="A143" i="1"/>
  <c r="B143" i="1"/>
  <c r="A144" i="1"/>
  <c r="B144" i="1"/>
  <c r="A145" i="1"/>
  <c r="B145" i="1"/>
  <c r="A146" i="1"/>
  <c r="B146" i="1"/>
  <c r="A147" i="1"/>
  <c r="B147" i="1"/>
  <c r="A148" i="1"/>
  <c r="B148" i="1"/>
  <c r="A149" i="1"/>
  <c r="B149" i="1"/>
  <c r="A150" i="1"/>
  <c r="B150" i="1"/>
  <c r="A151" i="1"/>
  <c r="B151" i="1"/>
  <c r="A152" i="1"/>
  <c r="B152" i="1"/>
  <c r="A153" i="1"/>
  <c r="B153" i="1"/>
  <c r="A154" i="1"/>
  <c r="B154" i="1"/>
  <c r="A155" i="1"/>
  <c r="B155" i="1"/>
  <c r="A156" i="1"/>
  <c r="B156" i="1"/>
  <c r="A157" i="1"/>
  <c r="B157" i="1"/>
  <c r="A158" i="1"/>
  <c r="B158" i="1"/>
  <c r="A159" i="1"/>
  <c r="B159" i="1"/>
  <c r="A160" i="1"/>
  <c r="B160" i="1"/>
  <c r="A161" i="1"/>
  <c r="B161" i="1"/>
  <c r="A162" i="1"/>
  <c r="B162" i="1"/>
  <c r="A163" i="1"/>
  <c r="B163" i="1"/>
  <c r="A164" i="1"/>
  <c r="B164" i="1"/>
  <c r="A165" i="1"/>
  <c r="B165" i="1"/>
  <c r="A166" i="1"/>
  <c r="B166" i="1"/>
  <c r="A167" i="1"/>
  <c r="B167" i="1"/>
  <c r="A168" i="1"/>
  <c r="B168" i="1"/>
  <c r="A169" i="1"/>
  <c r="B169" i="1"/>
  <c r="A170" i="1"/>
  <c r="B170" i="1"/>
  <c r="A171" i="1"/>
  <c r="B171" i="1"/>
  <c r="A172" i="1"/>
  <c r="B172" i="1"/>
  <c r="A173" i="1"/>
  <c r="B173" i="1"/>
  <c r="A174" i="1"/>
  <c r="B174" i="1"/>
  <c r="A175" i="1"/>
  <c r="B175" i="1"/>
  <c r="A176" i="1"/>
  <c r="B176" i="1"/>
  <c r="A177" i="1"/>
  <c r="B177" i="1"/>
  <c r="A178" i="1"/>
  <c r="B178" i="1"/>
  <c r="A179" i="1"/>
  <c r="B179" i="1"/>
  <c r="A180" i="1"/>
  <c r="B180" i="1"/>
  <c r="A181" i="1"/>
  <c r="B181" i="1"/>
  <c r="A182" i="1"/>
  <c r="B182" i="1"/>
  <c r="A183" i="1"/>
  <c r="B183" i="1"/>
  <c r="A184" i="1"/>
  <c r="B184" i="1"/>
  <c r="A185" i="1"/>
  <c r="B185" i="1"/>
  <c r="A186" i="1"/>
  <c r="B186" i="1"/>
  <c r="A187" i="1"/>
  <c r="B187" i="1"/>
  <c r="A188" i="1"/>
  <c r="B188" i="1"/>
  <c r="A189" i="1"/>
  <c r="B189" i="1"/>
  <c r="A190" i="1"/>
  <c r="B190" i="1"/>
  <c r="A191" i="1"/>
  <c r="B191" i="1"/>
  <c r="A192" i="1"/>
  <c r="B192" i="1"/>
  <c r="A193" i="1"/>
  <c r="B193" i="1"/>
  <c r="A194" i="1"/>
  <c r="B194" i="1"/>
  <c r="A195" i="1"/>
  <c r="B195" i="1"/>
  <c r="A196" i="1"/>
  <c r="B196" i="1"/>
  <c r="A197" i="1"/>
  <c r="B197" i="1"/>
  <c r="A198" i="1"/>
  <c r="B198" i="1"/>
  <c r="A199" i="1"/>
  <c r="B199" i="1"/>
  <c r="A200" i="1"/>
  <c r="B200" i="1"/>
  <c r="A201" i="1"/>
  <c r="B201" i="1"/>
  <c r="A202" i="1"/>
  <c r="B202" i="1"/>
  <c r="A203" i="1"/>
  <c r="B203" i="1"/>
  <c r="A204" i="1"/>
  <c r="B204" i="1"/>
  <c r="A205" i="1"/>
  <c r="B205" i="1"/>
  <c r="A206" i="1"/>
  <c r="B206" i="1"/>
  <c r="A207" i="1"/>
  <c r="B207" i="1"/>
  <c r="A208" i="1"/>
  <c r="B208" i="1"/>
  <c r="A209" i="1"/>
  <c r="B209" i="1"/>
  <c r="A210" i="1"/>
  <c r="B210" i="1"/>
  <c r="A211" i="1"/>
  <c r="B211" i="1"/>
  <c r="A212" i="1"/>
  <c r="B212" i="1"/>
  <c r="A213" i="1"/>
  <c r="B213" i="1"/>
  <c r="A214" i="1"/>
  <c r="B214" i="1"/>
  <c r="A215" i="1"/>
  <c r="B215" i="1"/>
  <c r="A216" i="1"/>
  <c r="B216" i="1"/>
  <c r="A217" i="1"/>
  <c r="B217" i="1"/>
  <c r="A218" i="1"/>
  <c r="B218" i="1"/>
  <c r="A219" i="1"/>
  <c r="B219" i="1"/>
  <c r="A220" i="1"/>
  <c r="B220" i="1"/>
  <c r="A221" i="1"/>
  <c r="B221" i="1"/>
  <c r="A222" i="1"/>
  <c r="B222" i="1"/>
  <c r="A223" i="1"/>
  <c r="B223" i="1"/>
  <c r="A224" i="1"/>
  <c r="B224" i="1"/>
  <c r="A225" i="1"/>
  <c r="B225" i="1"/>
  <c r="A226" i="1"/>
  <c r="B226" i="1"/>
  <c r="A227" i="1"/>
  <c r="B227" i="1"/>
  <c r="A228" i="1"/>
  <c r="B228" i="1"/>
  <c r="A229" i="1"/>
  <c r="B229" i="1"/>
  <c r="A230" i="1"/>
  <c r="B230" i="1"/>
  <c r="A231" i="1"/>
  <c r="B231" i="1"/>
  <c r="A232" i="1"/>
  <c r="B232" i="1"/>
  <c r="A233" i="1"/>
  <c r="B233" i="1"/>
  <c r="A234" i="1"/>
  <c r="B234" i="1"/>
  <c r="A235" i="1"/>
  <c r="B235" i="1"/>
  <c r="A236" i="1"/>
  <c r="B236" i="1"/>
  <c r="A237" i="1"/>
  <c r="B237" i="1"/>
  <c r="A238" i="1"/>
  <c r="B238" i="1"/>
  <c r="A239" i="1"/>
  <c r="B239" i="1"/>
  <c r="A240" i="1"/>
  <c r="B240" i="1"/>
  <c r="A241" i="1"/>
  <c r="B241" i="1"/>
  <c r="A242" i="1"/>
  <c r="B242" i="1"/>
  <c r="A243" i="1"/>
  <c r="B243" i="1"/>
  <c r="A244" i="1"/>
  <c r="B244" i="1"/>
  <c r="A245" i="1"/>
  <c r="B245" i="1"/>
  <c r="A246" i="1"/>
  <c r="B246" i="1"/>
  <c r="A247" i="1"/>
  <c r="B247" i="1"/>
  <c r="A248" i="1"/>
  <c r="B248" i="1"/>
  <c r="A249" i="1"/>
  <c r="B249" i="1"/>
  <c r="A250" i="1"/>
  <c r="B250" i="1"/>
  <c r="A251" i="1"/>
  <c r="B251" i="1"/>
  <c r="A252" i="1"/>
  <c r="B252" i="1"/>
  <c r="A253" i="1"/>
  <c r="B253" i="1"/>
  <c r="A254" i="1"/>
  <c r="B254" i="1"/>
  <c r="A255" i="1"/>
  <c r="B255" i="1"/>
  <c r="A256" i="1"/>
  <c r="B256" i="1"/>
  <c r="A257" i="1"/>
  <c r="B257" i="1"/>
  <c r="A258" i="1"/>
  <c r="B258" i="1"/>
  <c r="A259" i="1"/>
  <c r="B259" i="1"/>
  <c r="A260" i="1"/>
  <c r="B260" i="1"/>
  <c r="A261" i="1"/>
  <c r="B261" i="1"/>
  <c r="A262" i="1"/>
  <c r="B262" i="1"/>
  <c r="A263" i="1"/>
  <c r="B263" i="1"/>
  <c r="A264" i="1"/>
  <c r="B264" i="1"/>
  <c r="A265" i="1"/>
  <c r="B265" i="1"/>
  <c r="A266" i="1"/>
  <c r="B266" i="1"/>
  <c r="A267" i="1"/>
  <c r="B267" i="1"/>
  <c r="A268" i="1"/>
  <c r="B268" i="1"/>
  <c r="A269" i="1"/>
  <c r="B269" i="1"/>
  <c r="A270" i="1"/>
  <c r="B270" i="1"/>
  <c r="A271" i="1"/>
  <c r="B271" i="1"/>
  <c r="A272" i="1"/>
  <c r="B272" i="1"/>
  <c r="A273" i="1"/>
  <c r="B273" i="1"/>
  <c r="A274" i="1"/>
  <c r="B274" i="1"/>
  <c r="A275" i="1"/>
  <c r="B275" i="1"/>
  <c r="A276" i="1"/>
  <c r="B276" i="1"/>
  <c r="A277" i="1"/>
  <c r="B277" i="1"/>
  <c r="A278" i="1"/>
  <c r="B278" i="1"/>
  <c r="A279" i="1"/>
  <c r="B279" i="1"/>
  <c r="A280" i="1"/>
  <c r="B280" i="1"/>
  <c r="A281" i="1"/>
  <c r="B281" i="1"/>
  <c r="A282" i="1"/>
  <c r="B282" i="1"/>
  <c r="A283" i="1"/>
  <c r="B283" i="1"/>
  <c r="A284" i="1"/>
  <c r="B284" i="1"/>
  <c r="A285" i="1"/>
  <c r="B285" i="1"/>
  <c r="A286" i="1"/>
  <c r="B286" i="1"/>
  <c r="A287" i="1"/>
  <c r="B287" i="1"/>
  <c r="A288" i="1"/>
  <c r="B288" i="1"/>
  <c r="A289" i="1"/>
  <c r="B289" i="1"/>
  <c r="A290" i="1"/>
  <c r="B290" i="1"/>
  <c r="A291" i="1"/>
  <c r="B291" i="1"/>
  <c r="A292" i="1"/>
  <c r="B292" i="1"/>
  <c r="A293" i="1"/>
  <c r="B293" i="1"/>
  <c r="A294" i="1"/>
  <c r="B294" i="1"/>
  <c r="A295" i="1"/>
  <c r="B295" i="1"/>
  <c r="A296" i="1"/>
  <c r="B296" i="1"/>
  <c r="A297" i="1"/>
  <c r="B297" i="1"/>
  <c r="A298" i="1"/>
  <c r="B298" i="1"/>
  <c r="A299" i="1"/>
  <c r="B299" i="1"/>
  <c r="A300" i="1"/>
  <c r="B300" i="1"/>
  <c r="A301" i="1"/>
  <c r="B301" i="1"/>
  <c r="A302" i="1"/>
  <c r="B302" i="1"/>
  <c r="A303" i="1"/>
  <c r="B303" i="1"/>
  <c r="A304" i="1"/>
  <c r="B304" i="1"/>
  <c r="A305" i="1"/>
  <c r="B305" i="1"/>
  <c r="A306" i="1"/>
  <c r="B306" i="1"/>
  <c r="A307" i="1"/>
  <c r="B307" i="1"/>
  <c r="A308" i="1"/>
  <c r="B308" i="1"/>
  <c r="A309" i="1"/>
  <c r="B309" i="1"/>
  <c r="A310" i="1"/>
  <c r="B310" i="1"/>
  <c r="A311" i="1"/>
  <c r="B311" i="1"/>
  <c r="A312" i="1"/>
  <c r="B312" i="1"/>
  <c r="A313" i="1"/>
  <c r="B313" i="1"/>
  <c r="A314" i="1"/>
  <c r="B314" i="1"/>
  <c r="A315" i="1"/>
  <c r="B315" i="1"/>
  <c r="A316" i="1"/>
  <c r="B316" i="1"/>
  <c r="A317" i="1"/>
  <c r="B317" i="1"/>
  <c r="A318" i="1"/>
  <c r="B318" i="1"/>
  <c r="A319" i="1"/>
  <c r="B319" i="1"/>
  <c r="A320" i="1"/>
  <c r="B320" i="1"/>
  <c r="A321" i="1"/>
  <c r="B321" i="1"/>
  <c r="A322" i="1"/>
  <c r="B322" i="1"/>
  <c r="A323" i="1"/>
  <c r="B323" i="1"/>
  <c r="A324" i="1"/>
  <c r="B324" i="1"/>
  <c r="A325" i="1"/>
  <c r="B325" i="1"/>
  <c r="A326" i="1"/>
  <c r="B326" i="1"/>
  <c r="A327" i="1"/>
  <c r="B327" i="1"/>
  <c r="A328" i="1"/>
  <c r="B328" i="1"/>
  <c r="A329" i="1"/>
  <c r="B329" i="1"/>
  <c r="A330" i="1"/>
  <c r="B330" i="1"/>
  <c r="A331" i="1"/>
  <c r="B331" i="1"/>
  <c r="A332" i="1"/>
  <c r="B332" i="1"/>
  <c r="A333" i="1"/>
  <c r="B333" i="1"/>
  <c r="A334" i="1"/>
  <c r="B334" i="1"/>
  <c r="A335" i="1"/>
  <c r="B335" i="1"/>
  <c r="A336" i="1"/>
  <c r="B336" i="1"/>
  <c r="A337" i="1"/>
  <c r="B337" i="1"/>
  <c r="A338" i="1"/>
  <c r="B338" i="1"/>
  <c r="A339" i="1"/>
  <c r="B339" i="1"/>
  <c r="A340" i="1"/>
  <c r="B340" i="1"/>
  <c r="A341" i="1"/>
  <c r="B341" i="1"/>
  <c r="A342" i="1"/>
  <c r="B342" i="1"/>
  <c r="A343" i="1"/>
  <c r="B343" i="1"/>
  <c r="A344" i="1"/>
  <c r="B344" i="1"/>
  <c r="A345" i="1"/>
  <c r="B345" i="1"/>
  <c r="A346" i="1"/>
  <c r="B346" i="1"/>
  <c r="A347" i="1"/>
  <c r="B347" i="1"/>
  <c r="A348" i="1"/>
  <c r="B348" i="1"/>
  <c r="A349" i="1"/>
  <c r="B349" i="1"/>
  <c r="A350" i="1"/>
  <c r="B350" i="1"/>
  <c r="A351" i="1"/>
  <c r="B351" i="1"/>
  <c r="A352" i="1"/>
  <c r="B352" i="1"/>
  <c r="A353" i="1"/>
  <c r="B353" i="1"/>
  <c r="A354" i="1"/>
  <c r="B354" i="1"/>
  <c r="A355" i="1"/>
  <c r="B355" i="1"/>
  <c r="A356" i="1"/>
  <c r="B356" i="1"/>
  <c r="A357" i="1"/>
  <c r="B357" i="1"/>
  <c r="A358" i="1"/>
  <c r="B358" i="1"/>
  <c r="A359" i="1"/>
  <c r="B359" i="1"/>
  <c r="A360" i="1"/>
  <c r="B360" i="1"/>
  <c r="A361" i="1"/>
  <c r="B361" i="1"/>
  <c r="A362" i="1"/>
  <c r="B362" i="1"/>
  <c r="A363" i="1"/>
  <c r="B363" i="1"/>
  <c r="A364" i="1"/>
  <c r="B364" i="1"/>
  <c r="A365" i="1"/>
  <c r="B365" i="1"/>
  <c r="A366" i="1"/>
  <c r="B366" i="1"/>
  <c r="A367" i="1"/>
  <c r="B367" i="1"/>
  <c r="A368" i="1"/>
  <c r="B368" i="1"/>
  <c r="A369" i="1"/>
  <c r="B369" i="1"/>
  <c r="A370" i="1"/>
  <c r="B370" i="1"/>
  <c r="A371" i="1"/>
  <c r="B371" i="1"/>
  <c r="A372" i="1"/>
  <c r="B372" i="1"/>
  <c r="A373" i="1"/>
  <c r="B373" i="1"/>
  <c r="A374" i="1"/>
  <c r="B374" i="1"/>
  <c r="A375" i="1"/>
  <c r="B375" i="1"/>
  <c r="A376" i="1"/>
  <c r="B376" i="1"/>
  <c r="A377" i="1"/>
  <c r="B377" i="1"/>
  <c r="A378" i="1"/>
  <c r="B378" i="1"/>
  <c r="A379" i="1"/>
  <c r="B379" i="1"/>
  <c r="A380" i="1"/>
  <c r="B380" i="1"/>
  <c r="A381" i="1"/>
  <c r="B381" i="1"/>
  <c r="A382" i="1"/>
  <c r="B382" i="1"/>
  <c r="A383" i="1"/>
  <c r="B383" i="1"/>
  <c r="A384" i="1"/>
  <c r="B384" i="1"/>
  <c r="A385" i="1"/>
  <c r="B385" i="1"/>
  <c r="A386" i="1"/>
  <c r="B386" i="1"/>
  <c r="A387" i="1"/>
  <c r="B387" i="1"/>
  <c r="A388" i="1"/>
  <c r="B388" i="1"/>
  <c r="A389" i="1"/>
  <c r="B389" i="1"/>
  <c r="A390" i="1"/>
  <c r="B390" i="1"/>
  <c r="A391" i="1"/>
  <c r="B391" i="1"/>
  <c r="A392" i="1"/>
  <c r="B392" i="1"/>
  <c r="A393" i="1"/>
  <c r="B393" i="1"/>
  <c r="A394" i="1"/>
  <c r="B394" i="1"/>
  <c r="A395" i="1"/>
  <c r="B395" i="1"/>
  <c r="A396" i="1"/>
  <c r="B396" i="1"/>
  <c r="A397" i="1"/>
  <c r="B397" i="1"/>
  <c r="A398" i="1"/>
  <c r="B398" i="1"/>
  <c r="A399" i="1"/>
  <c r="B399" i="1"/>
  <c r="A400" i="1"/>
  <c r="B400" i="1"/>
  <c r="A401" i="1"/>
  <c r="B401" i="1"/>
  <c r="A402" i="1"/>
  <c r="B402" i="1"/>
  <c r="A403" i="1"/>
  <c r="B403" i="1"/>
  <c r="A404" i="1"/>
  <c r="B404" i="1"/>
  <c r="A405" i="1"/>
  <c r="B405" i="1"/>
  <c r="A406" i="1"/>
  <c r="B406" i="1"/>
  <c r="A407" i="1"/>
  <c r="B407" i="1"/>
  <c r="A408" i="1"/>
  <c r="B408" i="1"/>
  <c r="A409" i="1"/>
  <c r="B409" i="1"/>
  <c r="A410" i="1"/>
  <c r="B410" i="1"/>
  <c r="A411" i="1"/>
  <c r="B411" i="1"/>
  <c r="A412" i="1"/>
  <c r="B412" i="1"/>
  <c r="A413" i="1"/>
  <c r="B413" i="1"/>
  <c r="A414" i="1"/>
  <c r="B414" i="1"/>
  <c r="A415" i="1"/>
  <c r="B415" i="1"/>
  <c r="A416" i="1"/>
  <c r="B416" i="1"/>
  <c r="A417" i="1"/>
  <c r="B417" i="1"/>
  <c r="A418" i="1"/>
  <c r="B418" i="1"/>
  <c r="A419" i="1"/>
  <c r="B419" i="1"/>
  <c r="A420" i="1"/>
  <c r="B420" i="1"/>
  <c r="A421" i="1"/>
  <c r="B421" i="1"/>
  <c r="A422" i="1"/>
  <c r="B422" i="1"/>
  <c r="A423" i="1"/>
  <c r="B423" i="1"/>
  <c r="A424" i="1"/>
  <c r="B424" i="1"/>
  <c r="A425" i="1"/>
  <c r="B425" i="1"/>
  <c r="A426" i="1"/>
  <c r="B426" i="1"/>
  <c r="A427" i="1"/>
  <c r="B427" i="1"/>
  <c r="A428" i="1"/>
  <c r="B428" i="1"/>
  <c r="A429" i="1"/>
  <c r="B429" i="1"/>
  <c r="A430" i="1"/>
  <c r="B430" i="1"/>
  <c r="A431" i="1"/>
  <c r="B431" i="1"/>
  <c r="A432" i="1"/>
  <c r="B432" i="1"/>
  <c r="A433" i="1"/>
  <c r="B433" i="1"/>
  <c r="A434" i="1"/>
  <c r="B434" i="1"/>
  <c r="A435" i="1"/>
  <c r="B435" i="1"/>
  <c r="A436" i="1"/>
  <c r="B436" i="1"/>
  <c r="A437" i="1"/>
  <c r="B437" i="1"/>
  <c r="A438" i="1"/>
  <c r="B438" i="1"/>
  <c r="A439" i="1"/>
  <c r="B439" i="1"/>
  <c r="A440" i="1"/>
  <c r="B440" i="1"/>
  <c r="A441" i="1"/>
  <c r="B441" i="1"/>
  <c r="A442" i="1"/>
  <c r="B442" i="1"/>
  <c r="A443" i="1"/>
  <c r="B443" i="1"/>
  <c r="A444" i="1"/>
  <c r="B444" i="1"/>
  <c r="A445" i="1"/>
  <c r="B445" i="1"/>
  <c r="A446" i="1"/>
  <c r="B446" i="1"/>
  <c r="A447" i="1"/>
  <c r="B447" i="1"/>
  <c r="A448" i="1"/>
  <c r="B448" i="1"/>
  <c r="A449" i="1"/>
  <c r="B449" i="1"/>
  <c r="A450" i="1"/>
  <c r="B450" i="1"/>
  <c r="A451" i="1"/>
  <c r="B451" i="1"/>
  <c r="A452" i="1"/>
  <c r="B452" i="1"/>
  <c r="A453" i="1"/>
  <c r="B453" i="1"/>
  <c r="A454" i="1"/>
  <c r="B454" i="1"/>
  <c r="A455" i="1"/>
  <c r="B455" i="1"/>
  <c r="A456" i="1"/>
  <c r="B456" i="1"/>
  <c r="A457" i="1"/>
  <c r="B457" i="1"/>
  <c r="A458" i="1"/>
  <c r="B458" i="1"/>
  <c r="A459" i="1"/>
  <c r="B459" i="1"/>
  <c r="A460" i="1"/>
  <c r="B460" i="1"/>
  <c r="A461" i="1"/>
  <c r="B461" i="1"/>
  <c r="A462" i="1"/>
  <c r="B462" i="1"/>
  <c r="A463" i="1"/>
  <c r="B463" i="1"/>
  <c r="A464" i="1"/>
  <c r="B464" i="1"/>
  <c r="A465" i="1"/>
  <c r="B465" i="1"/>
  <c r="A466" i="1"/>
  <c r="B466" i="1"/>
  <c r="A467" i="1"/>
  <c r="B467" i="1"/>
  <c r="A468" i="1"/>
  <c r="B468" i="1"/>
  <c r="A469" i="1"/>
  <c r="B469" i="1"/>
  <c r="A470" i="1"/>
  <c r="B470" i="1"/>
  <c r="A471" i="1"/>
  <c r="B471" i="1"/>
  <c r="A472" i="1"/>
  <c r="B472" i="1"/>
  <c r="A473" i="1"/>
  <c r="B473" i="1"/>
  <c r="A474" i="1"/>
  <c r="B474" i="1"/>
  <c r="A475" i="1"/>
  <c r="B475" i="1"/>
  <c r="A476" i="1"/>
  <c r="B476" i="1"/>
  <c r="A477" i="1"/>
  <c r="B477" i="1"/>
  <c r="A478" i="1"/>
  <c r="B478" i="1"/>
  <c r="A479" i="1"/>
  <c r="B479" i="1"/>
  <c r="A480" i="1"/>
  <c r="B480" i="1"/>
  <c r="A481" i="1"/>
  <c r="B481" i="1"/>
  <c r="A482" i="1"/>
  <c r="B482" i="1"/>
  <c r="A483" i="1"/>
  <c r="B483" i="1"/>
  <c r="A484" i="1"/>
  <c r="B484" i="1"/>
  <c r="A485" i="1"/>
  <c r="B485" i="1"/>
  <c r="A486" i="1"/>
  <c r="B486" i="1"/>
  <c r="A487" i="1"/>
  <c r="B487" i="1"/>
  <c r="A488" i="1"/>
  <c r="B488" i="1"/>
  <c r="A489" i="1"/>
  <c r="B489" i="1"/>
  <c r="A490" i="1"/>
  <c r="B490" i="1"/>
  <c r="A491" i="1"/>
  <c r="B491" i="1"/>
  <c r="A492" i="1"/>
  <c r="B492" i="1"/>
  <c r="A493" i="1"/>
  <c r="B493" i="1"/>
  <c r="A494" i="1"/>
  <c r="B494" i="1"/>
  <c r="A495" i="1"/>
  <c r="B495" i="1"/>
  <c r="A496" i="1"/>
  <c r="B496" i="1"/>
  <c r="A497" i="1"/>
  <c r="B497" i="1"/>
  <c r="A498" i="1"/>
  <c r="B498" i="1"/>
  <c r="A499" i="1"/>
  <c r="B499" i="1"/>
  <c r="A500" i="1"/>
  <c r="B500" i="1"/>
  <c r="A501" i="1"/>
  <c r="B501" i="1"/>
  <c r="A502" i="1"/>
  <c r="B502" i="1"/>
  <c r="A503" i="1"/>
  <c r="B503" i="1"/>
  <c r="A504" i="1"/>
  <c r="B504" i="1"/>
  <c r="A505" i="1"/>
  <c r="B505" i="1"/>
  <c r="A506" i="1"/>
  <c r="B506" i="1"/>
  <c r="A507" i="1"/>
  <c r="B507" i="1"/>
  <c r="A508" i="1"/>
  <c r="B508" i="1"/>
  <c r="A509" i="1"/>
  <c r="B509" i="1"/>
  <c r="A510" i="1"/>
  <c r="B510" i="1"/>
  <c r="A511" i="1"/>
  <c r="B511" i="1"/>
  <c r="A512" i="1"/>
  <c r="B512" i="1"/>
  <c r="A513" i="1"/>
  <c r="B513" i="1"/>
  <c r="A514" i="1"/>
  <c r="B514" i="1"/>
  <c r="A515" i="1"/>
  <c r="B515" i="1"/>
  <c r="A516" i="1"/>
  <c r="B516" i="1"/>
  <c r="A517" i="1"/>
  <c r="B517" i="1"/>
  <c r="A518" i="1"/>
  <c r="B518" i="1"/>
  <c r="A519" i="1"/>
  <c r="B519" i="1"/>
  <c r="A520" i="1"/>
  <c r="B520" i="1"/>
  <c r="A521" i="1"/>
  <c r="B521" i="1"/>
  <c r="A522" i="1"/>
  <c r="B522" i="1"/>
  <c r="A523" i="1"/>
  <c r="B523" i="1"/>
  <c r="A524" i="1"/>
  <c r="B524" i="1"/>
  <c r="A525" i="1"/>
  <c r="B525" i="1"/>
  <c r="A526" i="1"/>
  <c r="B526" i="1"/>
  <c r="A527" i="1"/>
  <c r="B527" i="1"/>
  <c r="A528" i="1"/>
  <c r="B528" i="1"/>
  <c r="A529" i="1"/>
  <c r="B529" i="1"/>
  <c r="A530" i="1"/>
  <c r="B530" i="1"/>
  <c r="A531" i="1"/>
  <c r="B531" i="1"/>
  <c r="A532" i="1"/>
  <c r="B532" i="1"/>
  <c r="A533" i="1"/>
  <c r="B533" i="1"/>
  <c r="A534" i="1"/>
  <c r="B534" i="1"/>
  <c r="A535" i="1"/>
  <c r="B535" i="1"/>
  <c r="A536" i="1"/>
  <c r="B536" i="1"/>
  <c r="A537" i="1"/>
  <c r="B537" i="1"/>
  <c r="A538" i="1"/>
  <c r="B538" i="1"/>
  <c r="A539" i="1"/>
  <c r="B539" i="1"/>
  <c r="A540" i="1"/>
  <c r="B540" i="1"/>
  <c r="A541" i="1"/>
  <c r="B541" i="1"/>
  <c r="A542" i="1"/>
  <c r="B542" i="1"/>
  <c r="A543" i="1"/>
  <c r="B543" i="1"/>
  <c r="A544" i="1"/>
  <c r="B544" i="1"/>
  <c r="A545" i="1"/>
  <c r="B545" i="1"/>
  <c r="A546" i="1"/>
  <c r="B546" i="1"/>
  <c r="A547" i="1"/>
  <c r="B547" i="1"/>
  <c r="A548" i="1"/>
  <c r="B548" i="1"/>
  <c r="A549" i="1"/>
  <c r="B549" i="1"/>
  <c r="A550" i="1"/>
  <c r="B550" i="1"/>
  <c r="A551" i="1"/>
  <c r="B551" i="1"/>
  <c r="A552" i="1"/>
  <c r="B552" i="1"/>
  <c r="A553" i="1"/>
  <c r="B553" i="1"/>
  <c r="A554" i="1"/>
  <c r="B554" i="1"/>
  <c r="A555" i="1"/>
  <c r="B555" i="1"/>
  <c r="A556" i="1"/>
  <c r="B556" i="1"/>
  <c r="A557" i="1"/>
  <c r="B557" i="1"/>
  <c r="A558" i="1"/>
  <c r="B558" i="1"/>
  <c r="A559" i="1"/>
  <c r="B559" i="1"/>
  <c r="A560" i="1"/>
  <c r="B560" i="1"/>
  <c r="A561" i="1"/>
  <c r="B561" i="1"/>
  <c r="A562" i="1"/>
  <c r="B562" i="1"/>
  <c r="A563" i="1"/>
  <c r="B563" i="1"/>
  <c r="A564" i="1"/>
  <c r="B564" i="1"/>
  <c r="A565" i="1"/>
  <c r="B565" i="1"/>
  <c r="A566" i="1"/>
  <c r="B566" i="1"/>
  <c r="A567" i="1"/>
  <c r="B567" i="1"/>
  <c r="A568" i="1"/>
  <c r="B568" i="1"/>
  <c r="A569" i="1"/>
  <c r="B569" i="1"/>
  <c r="A570" i="1"/>
  <c r="B570" i="1"/>
  <c r="A571" i="1"/>
  <c r="B571" i="1"/>
  <c r="A572" i="1"/>
  <c r="B572" i="1"/>
  <c r="A573" i="1"/>
  <c r="B573" i="1"/>
  <c r="A574" i="1"/>
  <c r="B574" i="1"/>
  <c r="A575" i="1"/>
  <c r="B575" i="1"/>
  <c r="A576" i="1"/>
  <c r="B576" i="1"/>
  <c r="A577" i="1"/>
  <c r="B577" i="1"/>
  <c r="A578" i="1"/>
  <c r="B578" i="1"/>
  <c r="A579" i="1"/>
  <c r="B579" i="1"/>
  <c r="A580" i="1"/>
  <c r="B580" i="1"/>
  <c r="A581" i="1"/>
  <c r="B581" i="1"/>
  <c r="A582" i="1"/>
  <c r="B582" i="1"/>
  <c r="A583" i="1"/>
  <c r="B583" i="1"/>
  <c r="A584" i="1"/>
  <c r="B584" i="1"/>
  <c r="A585" i="1"/>
  <c r="B585" i="1"/>
  <c r="A586" i="1"/>
  <c r="B586" i="1"/>
  <c r="A587" i="1"/>
  <c r="B587" i="1"/>
  <c r="A588" i="1"/>
  <c r="B588" i="1"/>
  <c r="A589" i="1"/>
  <c r="B589" i="1"/>
  <c r="A590" i="1"/>
  <c r="B590" i="1"/>
  <c r="A591" i="1"/>
  <c r="B591" i="1"/>
  <c r="A592" i="1"/>
  <c r="B592" i="1"/>
  <c r="A593" i="1"/>
  <c r="B593" i="1"/>
  <c r="A594" i="1"/>
  <c r="B594" i="1"/>
  <c r="A595" i="1"/>
  <c r="B595" i="1"/>
  <c r="A596" i="1"/>
  <c r="B596" i="1"/>
  <c r="A597" i="1"/>
  <c r="B597" i="1"/>
  <c r="A598" i="1"/>
  <c r="B598" i="1"/>
  <c r="A599" i="1"/>
  <c r="B599" i="1"/>
  <c r="A600" i="1"/>
  <c r="B600" i="1"/>
  <c r="A601" i="1"/>
  <c r="B601" i="1"/>
  <c r="A602" i="1"/>
  <c r="B602" i="1"/>
  <c r="A603" i="1"/>
  <c r="B603" i="1"/>
  <c r="A604" i="1"/>
  <c r="B604" i="1"/>
  <c r="A605" i="1"/>
  <c r="B605" i="1"/>
  <c r="A606" i="1"/>
  <c r="B606" i="1"/>
  <c r="A607" i="1"/>
  <c r="B607" i="1"/>
  <c r="A608" i="1"/>
  <c r="B608" i="1"/>
  <c r="A609" i="1"/>
  <c r="B609" i="1"/>
  <c r="A610" i="1"/>
  <c r="B610" i="1"/>
  <c r="A611" i="1"/>
  <c r="B611" i="1"/>
  <c r="A612" i="1"/>
  <c r="B612" i="1"/>
  <c r="A613" i="1"/>
  <c r="B613" i="1"/>
  <c r="A614" i="1"/>
  <c r="B614" i="1"/>
  <c r="A615" i="1"/>
  <c r="B615" i="1"/>
  <c r="A616" i="1"/>
  <c r="B616" i="1"/>
  <c r="A617" i="1"/>
  <c r="B617" i="1"/>
  <c r="A618" i="1"/>
  <c r="B618" i="1"/>
  <c r="A619" i="1"/>
  <c r="B619" i="1"/>
  <c r="A620" i="1"/>
  <c r="B620" i="1"/>
  <c r="A621" i="1"/>
  <c r="B621" i="1"/>
  <c r="A622" i="1"/>
  <c r="B622" i="1"/>
  <c r="A623" i="1"/>
  <c r="B623" i="1"/>
  <c r="A624" i="1"/>
  <c r="B624" i="1"/>
  <c r="A625" i="1"/>
  <c r="B625" i="1"/>
  <c r="A626" i="1"/>
  <c r="B626" i="1"/>
  <c r="A627" i="1"/>
  <c r="B627" i="1"/>
  <c r="A628" i="1"/>
  <c r="B628" i="1"/>
  <c r="A629" i="1"/>
  <c r="B629" i="1"/>
  <c r="A630" i="1"/>
  <c r="B630" i="1"/>
  <c r="A631" i="1"/>
  <c r="B631" i="1"/>
  <c r="A632" i="1"/>
  <c r="B632" i="1"/>
  <c r="A633" i="1"/>
  <c r="B633" i="1"/>
  <c r="A634" i="1"/>
  <c r="B634" i="1"/>
  <c r="A635" i="1"/>
  <c r="B635" i="1"/>
  <c r="A636" i="1"/>
  <c r="B636" i="1"/>
  <c r="A637" i="1"/>
  <c r="B637" i="1"/>
  <c r="A638" i="1"/>
  <c r="B638" i="1"/>
  <c r="A639" i="1"/>
  <c r="B639" i="1"/>
  <c r="A640" i="1"/>
  <c r="B640" i="1"/>
  <c r="A641" i="1"/>
  <c r="B641" i="1"/>
  <c r="A642" i="1"/>
  <c r="B642" i="1"/>
  <c r="A643" i="1"/>
  <c r="B643" i="1"/>
  <c r="A644" i="1"/>
  <c r="B644" i="1"/>
  <c r="A645" i="1"/>
  <c r="B645" i="1"/>
  <c r="A646" i="1"/>
  <c r="B646" i="1"/>
  <c r="A647" i="1"/>
  <c r="B647" i="1"/>
  <c r="A648" i="1"/>
  <c r="B648" i="1"/>
  <c r="A649" i="1"/>
  <c r="B649" i="1"/>
  <c r="A650" i="1"/>
  <c r="B650" i="1"/>
  <c r="A651" i="1"/>
  <c r="B651" i="1"/>
  <c r="A652" i="1"/>
  <c r="B652" i="1"/>
  <c r="A653" i="1"/>
  <c r="B653" i="1"/>
  <c r="A654" i="1"/>
  <c r="B654" i="1"/>
  <c r="A655" i="1"/>
  <c r="B655" i="1"/>
  <c r="A656" i="1"/>
  <c r="B656" i="1"/>
  <c r="A657" i="1"/>
  <c r="B657" i="1"/>
  <c r="A658" i="1"/>
  <c r="B658" i="1"/>
  <c r="A659" i="1"/>
  <c r="B659" i="1"/>
  <c r="A660" i="1"/>
  <c r="B660" i="1"/>
  <c r="A661" i="1"/>
  <c r="B661" i="1"/>
  <c r="A662" i="1"/>
  <c r="B662" i="1"/>
  <c r="A663" i="1"/>
  <c r="B663" i="1"/>
  <c r="A664" i="1"/>
  <c r="B664" i="1"/>
  <c r="A665" i="1"/>
  <c r="B665" i="1"/>
  <c r="A666" i="1"/>
  <c r="B666" i="1"/>
  <c r="A667" i="1"/>
  <c r="B667" i="1"/>
  <c r="A668" i="1"/>
  <c r="B668" i="1"/>
  <c r="A669" i="1"/>
  <c r="B669" i="1"/>
  <c r="A670" i="1"/>
  <c r="B670" i="1"/>
  <c r="A671" i="1"/>
  <c r="B671" i="1"/>
  <c r="A672" i="1"/>
  <c r="B672" i="1"/>
  <c r="A673" i="1"/>
  <c r="B673" i="1"/>
  <c r="A674" i="1"/>
  <c r="B674" i="1"/>
  <c r="A675" i="1"/>
  <c r="B675" i="1"/>
  <c r="A676" i="1"/>
  <c r="B676" i="1"/>
  <c r="A677" i="1"/>
  <c r="B677" i="1"/>
  <c r="A678" i="1"/>
  <c r="B678" i="1"/>
  <c r="A679" i="1"/>
  <c r="B679" i="1"/>
  <c r="A680" i="1"/>
  <c r="B680" i="1"/>
  <c r="A681" i="1"/>
  <c r="B681" i="1"/>
  <c r="A682" i="1"/>
  <c r="B682" i="1"/>
  <c r="A683" i="1"/>
  <c r="B683" i="1"/>
  <c r="A684" i="1"/>
  <c r="B684" i="1"/>
  <c r="A685" i="1"/>
  <c r="B685" i="1"/>
  <c r="A686" i="1"/>
  <c r="B686" i="1"/>
  <c r="A687" i="1"/>
  <c r="B687" i="1"/>
  <c r="A688" i="1"/>
  <c r="B688" i="1"/>
  <c r="A689" i="1"/>
  <c r="B689" i="1"/>
  <c r="A690" i="1"/>
  <c r="B690" i="1"/>
  <c r="A691" i="1"/>
  <c r="B691" i="1"/>
  <c r="A692" i="1"/>
  <c r="B692" i="1"/>
  <c r="A693" i="1"/>
  <c r="B693" i="1"/>
  <c r="A694" i="1"/>
  <c r="B694" i="1"/>
  <c r="A695" i="1"/>
  <c r="B695" i="1"/>
  <c r="A696" i="1"/>
  <c r="B696" i="1"/>
  <c r="A697" i="1"/>
  <c r="B697" i="1"/>
  <c r="A698" i="1"/>
  <c r="B698" i="1"/>
  <c r="A699" i="1"/>
  <c r="B699" i="1"/>
  <c r="A700" i="1"/>
  <c r="B700" i="1"/>
  <c r="A701" i="1"/>
  <c r="B701" i="1"/>
  <c r="A702" i="1"/>
  <c r="B702" i="1"/>
  <c r="A703" i="1"/>
  <c r="B703" i="1"/>
  <c r="A704" i="1"/>
  <c r="B704" i="1"/>
  <c r="A705" i="1"/>
  <c r="B705" i="1"/>
  <c r="A706" i="1"/>
  <c r="B706" i="1"/>
  <c r="A707" i="1"/>
  <c r="B707" i="1"/>
  <c r="A708" i="1"/>
  <c r="B708" i="1"/>
  <c r="A709" i="1"/>
  <c r="B709" i="1"/>
  <c r="A710" i="1"/>
  <c r="B710" i="1"/>
  <c r="A711" i="1"/>
  <c r="B711" i="1"/>
  <c r="A712" i="1"/>
  <c r="B712" i="1"/>
  <c r="A713" i="1"/>
  <c r="B713" i="1"/>
  <c r="A714" i="1"/>
  <c r="B714" i="1"/>
  <c r="A715" i="1"/>
  <c r="B715" i="1"/>
  <c r="A716" i="1"/>
  <c r="B716" i="1"/>
  <c r="A717" i="1"/>
  <c r="B717" i="1"/>
  <c r="A718" i="1"/>
  <c r="B718" i="1"/>
  <c r="A719" i="1"/>
  <c r="B719" i="1"/>
  <c r="A720" i="1"/>
  <c r="B720" i="1"/>
  <c r="A721" i="1"/>
  <c r="B721" i="1"/>
  <c r="A722" i="1"/>
  <c r="B722" i="1"/>
  <c r="A723" i="1"/>
  <c r="B723" i="1"/>
  <c r="A724" i="1"/>
  <c r="B724" i="1"/>
  <c r="A725" i="1"/>
  <c r="B725" i="1"/>
  <c r="A726" i="1"/>
  <c r="B726" i="1"/>
  <c r="A727" i="1"/>
  <c r="B727" i="1"/>
  <c r="A728" i="1"/>
  <c r="B728" i="1"/>
  <c r="A729" i="1"/>
  <c r="B729" i="1"/>
  <c r="A730" i="1"/>
  <c r="B730" i="1"/>
  <c r="A731" i="1"/>
  <c r="B731" i="1"/>
  <c r="A732" i="1"/>
  <c r="B732" i="1"/>
  <c r="A733" i="1"/>
  <c r="B733" i="1"/>
  <c r="A734" i="1"/>
  <c r="B734" i="1"/>
  <c r="A735" i="1"/>
  <c r="B735" i="1"/>
  <c r="A736" i="1"/>
  <c r="B736" i="1"/>
  <c r="A737" i="1"/>
  <c r="B737" i="1"/>
  <c r="A738" i="1"/>
  <c r="B738" i="1"/>
  <c r="A739" i="1"/>
  <c r="B739" i="1"/>
  <c r="A740" i="1"/>
  <c r="B740" i="1"/>
  <c r="A741" i="1"/>
  <c r="B741" i="1"/>
  <c r="A742" i="1"/>
  <c r="B742" i="1"/>
  <c r="A743" i="1"/>
  <c r="B743" i="1"/>
  <c r="A744" i="1"/>
  <c r="B744" i="1"/>
  <c r="A745" i="1"/>
  <c r="B745" i="1"/>
  <c r="A746" i="1"/>
  <c r="B746" i="1"/>
  <c r="A747" i="1"/>
  <c r="B747" i="1"/>
  <c r="A748" i="1"/>
  <c r="B748" i="1"/>
  <c r="A749" i="1"/>
  <c r="B749" i="1"/>
  <c r="A750" i="1"/>
  <c r="B750" i="1"/>
  <c r="A751" i="1"/>
  <c r="B751" i="1"/>
  <c r="A752" i="1"/>
  <c r="B752" i="1"/>
  <c r="A753" i="1"/>
  <c r="B753" i="1"/>
  <c r="A754" i="1"/>
  <c r="B754" i="1"/>
  <c r="A755" i="1"/>
  <c r="B755" i="1"/>
  <c r="A756" i="1"/>
  <c r="B756" i="1"/>
  <c r="A757" i="1"/>
  <c r="B757" i="1"/>
  <c r="A758" i="1"/>
  <c r="B758" i="1"/>
  <c r="A759" i="1"/>
  <c r="B759" i="1"/>
  <c r="A760" i="1"/>
  <c r="B760" i="1"/>
  <c r="A761" i="1"/>
  <c r="B761" i="1"/>
  <c r="A762" i="1"/>
  <c r="B762" i="1"/>
  <c r="A763" i="1"/>
  <c r="B763" i="1"/>
  <c r="A764" i="1"/>
  <c r="B764" i="1"/>
  <c r="A765" i="1"/>
  <c r="B765" i="1"/>
  <c r="A766" i="1"/>
  <c r="B766" i="1"/>
  <c r="A767" i="1"/>
  <c r="B767" i="1"/>
  <c r="A768" i="1"/>
  <c r="B768" i="1"/>
  <c r="A769" i="1"/>
  <c r="B769" i="1"/>
  <c r="A770" i="1"/>
  <c r="B770" i="1"/>
  <c r="A771" i="1"/>
  <c r="B771" i="1"/>
  <c r="A772" i="1"/>
  <c r="B772" i="1"/>
  <c r="A773" i="1"/>
  <c r="B773" i="1"/>
  <c r="A774" i="1"/>
  <c r="B774" i="1"/>
  <c r="A775" i="1"/>
  <c r="B775" i="1"/>
  <c r="A776" i="1"/>
  <c r="B776" i="1"/>
  <c r="A777" i="1"/>
  <c r="B777" i="1"/>
  <c r="A778" i="1"/>
  <c r="B778" i="1"/>
  <c r="A779" i="1"/>
  <c r="B779" i="1"/>
  <c r="A780" i="1"/>
  <c r="B780" i="1"/>
  <c r="A781" i="1"/>
  <c r="B781" i="1"/>
  <c r="A782" i="1"/>
  <c r="B782" i="1"/>
  <c r="A783" i="1"/>
  <c r="B783" i="1"/>
  <c r="A784" i="1"/>
  <c r="B784" i="1"/>
  <c r="A785" i="1"/>
  <c r="B785" i="1"/>
  <c r="A786" i="1"/>
  <c r="B786" i="1"/>
  <c r="A787" i="1"/>
  <c r="B787" i="1"/>
  <c r="A788" i="1"/>
  <c r="B788" i="1"/>
  <c r="A789" i="1"/>
  <c r="B789" i="1"/>
  <c r="A790" i="1"/>
  <c r="B790" i="1"/>
  <c r="A791" i="1"/>
  <c r="B791" i="1"/>
  <c r="A792" i="1"/>
  <c r="B792" i="1"/>
  <c r="A793" i="1"/>
  <c r="B793" i="1"/>
  <c r="A794" i="1"/>
  <c r="B794" i="1"/>
  <c r="A795" i="1"/>
  <c r="B795" i="1"/>
  <c r="A796" i="1"/>
  <c r="B796" i="1"/>
  <c r="A797" i="1"/>
  <c r="B797" i="1"/>
  <c r="A798" i="1"/>
  <c r="B798" i="1"/>
  <c r="A799" i="1"/>
  <c r="B799" i="1"/>
  <c r="A800" i="1"/>
  <c r="B800" i="1"/>
  <c r="A801" i="1"/>
  <c r="B801" i="1"/>
  <c r="A802" i="1"/>
  <c r="B802" i="1"/>
  <c r="A803" i="1"/>
  <c r="B803" i="1"/>
  <c r="A804" i="1"/>
  <c r="B804" i="1"/>
  <c r="A805" i="1"/>
  <c r="B805" i="1"/>
  <c r="A806" i="1"/>
  <c r="B806" i="1"/>
  <c r="A807" i="1"/>
  <c r="B807" i="1"/>
  <c r="A808" i="1"/>
  <c r="B808" i="1"/>
  <c r="A809" i="1"/>
  <c r="B809" i="1"/>
  <c r="A810" i="1"/>
  <c r="B810" i="1"/>
  <c r="A811" i="1"/>
  <c r="B811" i="1"/>
  <c r="A812" i="1"/>
  <c r="B812" i="1"/>
  <c r="A813" i="1"/>
  <c r="B813" i="1"/>
  <c r="A814" i="1"/>
  <c r="B814" i="1"/>
  <c r="A815" i="1"/>
  <c r="B815" i="1"/>
  <c r="A816" i="1"/>
  <c r="B816" i="1"/>
  <c r="A817" i="1"/>
  <c r="B817" i="1"/>
  <c r="A818" i="1"/>
  <c r="B818" i="1"/>
  <c r="A819" i="1"/>
  <c r="B819" i="1"/>
  <c r="A820" i="1"/>
  <c r="B820" i="1"/>
  <c r="A821" i="1"/>
  <c r="B821" i="1"/>
  <c r="A822" i="1"/>
  <c r="B822" i="1"/>
  <c r="A823" i="1"/>
  <c r="B823" i="1"/>
  <c r="A824" i="1"/>
  <c r="B824" i="1"/>
  <c r="A825" i="1"/>
  <c r="B825" i="1"/>
  <c r="A826" i="1"/>
  <c r="B826" i="1"/>
  <c r="A827" i="1"/>
  <c r="B827" i="1"/>
  <c r="A828" i="1"/>
  <c r="B828" i="1"/>
  <c r="A829" i="1"/>
  <c r="B829" i="1"/>
  <c r="A830" i="1"/>
  <c r="B830" i="1"/>
  <c r="A831" i="1"/>
  <c r="B831" i="1"/>
  <c r="A832" i="1"/>
  <c r="B832" i="1"/>
  <c r="A833" i="1"/>
  <c r="B833" i="1"/>
  <c r="A834" i="1"/>
  <c r="B834" i="1"/>
  <c r="A835" i="1"/>
  <c r="B835" i="1"/>
  <c r="A836" i="1"/>
  <c r="B836" i="1"/>
  <c r="A837" i="1"/>
  <c r="B837" i="1"/>
  <c r="A838" i="1"/>
  <c r="B838" i="1"/>
  <c r="A839" i="1"/>
  <c r="B839" i="1"/>
  <c r="A840" i="1"/>
  <c r="B840" i="1"/>
  <c r="A841" i="1"/>
  <c r="B841" i="1"/>
  <c r="A842" i="1"/>
  <c r="B842" i="1"/>
  <c r="A843" i="1"/>
  <c r="B843" i="1"/>
  <c r="A844" i="1"/>
  <c r="B844" i="1"/>
  <c r="A845" i="1"/>
  <c r="B845" i="1"/>
  <c r="A846" i="1"/>
  <c r="B846" i="1"/>
  <c r="A847" i="1"/>
  <c r="B847" i="1"/>
  <c r="A848" i="1"/>
  <c r="B848" i="1"/>
  <c r="A849" i="1"/>
  <c r="B849" i="1"/>
  <c r="A850" i="1"/>
  <c r="B850" i="1"/>
  <c r="A851" i="1"/>
  <c r="B851" i="1"/>
  <c r="A852" i="1"/>
  <c r="B852" i="1"/>
  <c r="A853" i="1"/>
  <c r="B853" i="1"/>
  <c r="A854" i="1"/>
  <c r="B854" i="1"/>
  <c r="A855" i="1"/>
  <c r="B855" i="1"/>
  <c r="A856" i="1"/>
  <c r="B856" i="1"/>
  <c r="A857" i="1"/>
  <c r="B857" i="1"/>
  <c r="A858" i="1"/>
  <c r="B858" i="1"/>
  <c r="A859" i="1"/>
  <c r="B859" i="1"/>
  <c r="A860" i="1"/>
  <c r="B860" i="1"/>
  <c r="A861" i="1"/>
  <c r="B861" i="1"/>
  <c r="A862" i="1"/>
  <c r="B862" i="1"/>
  <c r="A863" i="1"/>
  <c r="B863" i="1"/>
  <c r="A864" i="1"/>
  <c r="B864" i="1"/>
  <c r="A865" i="1"/>
  <c r="B865" i="1"/>
  <c r="A866" i="1"/>
  <c r="B866" i="1"/>
  <c r="A867" i="1"/>
  <c r="B867" i="1"/>
  <c r="A868" i="1"/>
  <c r="B868" i="1"/>
  <c r="A869" i="1"/>
  <c r="B869" i="1"/>
  <c r="A870" i="1"/>
  <c r="B870" i="1"/>
  <c r="A871" i="1"/>
  <c r="B871" i="1"/>
  <c r="A872" i="1"/>
  <c r="B872" i="1"/>
  <c r="A873" i="1"/>
  <c r="B873" i="1"/>
  <c r="A874" i="1"/>
  <c r="B874" i="1"/>
  <c r="A875" i="1"/>
  <c r="B875" i="1"/>
  <c r="A876" i="1"/>
  <c r="B876" i="1"/>
  <c r="A877" i="1"/>
  <c r="B877" i="1"/>
  <c r="A878" i="1"/>
  <c r="B878" i="1"/>
  <c r="A879" i="1"/>
  <c r="B879" i="1"/>
  <c r="A880" i="1"/>
  <c r="B880" i="1"/>
  <c r="A881" i="1"/>
  <c r="B881" i="1"/>
  <c r="A882" i="1"/>
  <c r="B882" i="1"/>
  <c r="A883" i="1"/>
  <c r="B883" i="1"/>
  <c r="A884" i="1"/>
  <c r="B884" i="1"/>
  <c r="A885" i="1"/>
  <c r="B885" i="1"/>
  <c r="A886" i="1"/>
  <c r="B886" i="1"/>
  <c r="A887" i="1"/>
  <c r="B887" i="1"/>
  <c r="A888" i="1"/>
  <c r="B888" i="1"/>
  <c r="A889" i="1"/>
  <c r="B889" i="1"/>
  <c r="A890" i="1"/>
  <c r="B890" i="1"/>
  <c r="A891" i="1"/>
  <c r="B891" i="1"/>
  <c r="A892" i="1"/>
  <c r="B892" i="1"/>
  <c r="A893" i="1"/>
  <c r="B893" i="1"/>
  <c r="A894" i="1"/>
  <c r="B894" i="1"/>
  <c r="A895" i="1"/>
  <c r="B895" i="1"/>
  <c r="A896" i="1"/>
  <c r="B896" i="1"/>
  <c r="A897" i="1"/>
  <c r="B897" i="1"/>
  <c r="A898" i="1"/>
  <c r="B898" i="1"/>
  <c r="A899" i="1"/>
  <c r="B899" i="1"/>
  <c r="A900" i="1"/>
  <c r="B900" i="1"/>
  <c r="A901" i="1"/>
  <c r="B901" i="1"/>
  <c r="A902" i="1"/>
  <c r="B902" i="1"/>
  <c r="A903" i="1"/>
  <c r="B903" i="1"/>
  <c r="A904" i="1"/>
  <c r="B904" i="1"/>
  <c r="A905" i="1"/>
  <c r="B905" i="1"/>
  <c r="A906" i="1"/>
  <c r="B906" i="1"/>
  <c r="A907" i="1"/>
  <c r="B907" i="1"/>
  <c r="A908" i="1"/>
  <c r="B908" i="1"/>
  <c r="A909" i="1"/>
  <c r="B909" i="1"/>
  <c r="A910" i="1"/>
  <c r="B910" i="1"/>
  <c r="A911" i="1"/>
  <c r="B911" i="1"/>
  <c r="A912" i="1"/>
  <c r="B912" i="1"/>
  <c r="A913" i="1"/>
  <c r="B913" i="1"/>
  <c r="A914" i="1"/>
  <c r="B914" i="1"/>
  <c r="A915" i="1"/>
  <c r="B915" i="1"/>
  <c r="A916" i="1"/>
  <c r="B916" i="1"/>
  <c r="A917" i="1"/>
  <c r="B917" i="1"/>
  <c r="A918" i="1"/>
  <c r="B918" i="1"/>
  <c r="A919" i="1"/>
  <c r="B919" i="1"/>
  <c r="A920" i="1"/>
  <c r="B920" i="1"/>
  <c r="A921" i="1"/>
  <c r="B921" i="1"/>
  <c r="A922" i="1"/>
  <c r="B922" i="1"/>
  <c r="A923" i="1"/>
  <c r="B923" i="1"/>
  <c r="A924" i="1"/>
  <c r="B924" i="1"/>
  <c r="A925" i="1"/>
  <c r="B925" i="1"/>
  <c r="A926" i="1"/>
  <c r="B926" i="1"/>
  <c r="A927" i="1"/>
  <c r="B927" i="1"/>
  <c r="A928" i="1"/>
  <c r="B928" i="1"/>
  <c r="A929" i="1"/>
  <c r="B929" i="1"/>
  <c r="A930" i="1"/>
  <c r="B930" i="1"/>
  <c r="A931" i="1"/>
  <c r="B931" i="1"/>
  <c r="A932" i="1"/>
  <c r="B932" i="1"/>
  <c r="A933" i="1"/>
  <c r="B933" i="1"/>
  <c r="A934" i="1"/>
  <c r="B934" i="1"/>
  <c r="A935" i="1"/>
  <c r="B935" i="1"/>
  <c r="A936" i="1"/>
  <c r="B936" i="1"/>
  <c r="A937" i="1"/>
  <c r="B937" i="1"/>
  <c r="A938" i="1"/>
  <c r="B938" i="1"/>
  <c r="A939" i="1"/>
  <c r="B939" i="1"/>
  <c r="A940" i="1"/>
  <c r="B940" i="1"/>
  <c r="A941" i="1"/>
  <c r="B941" i="1"/>
  <c r="A942" i="1"/>
  <c r="B942" i="1"/>
  <c r="A943" i="1"/>
  <c r="B943" i="1"/>
  <c r="A944" i="1"/>
  <c r="B944" i="1"/>
  <c r="A945" i="1"/>
  <c r="B945" i="1"/>
  <c r="A946" i="1"/>
  <c r="B946" i="1"/>
  <c r="A947" i="1"/>
  <c r="B947" i="1"/>
  <c r="A948" i="1"/>
  <c r="B948" i="1"/>
  <c r="A949" i="1"/>
  <c r="B949" i="1"/>
  <c r="A950" i="1"/>
  <c r="B950" i="1"/>
  <c r="A951" i="1"/>
  <c r="B951" i="1"/>
  <c r="A952" i="1"/>
  <c r="B952" i="1"/>
  <c r="A953" i="1"/>
  <c r="B953" i="1"/>
  <c r="A954" i="1"/>
  <c r="B954" i="1"/>
  <c r="A955" i="1"/>
  <c r="B955" i="1"/>
  <c r="A956" i="1"/>
  <c r="B956" i="1"/>
  <c r="A957" i="1"/>
  <c r="B957" i="1"/>
  <c r="A958" i="1"/>
  <c r="B958" i="1"/>
  <c r="A959" i="1"/>
  <c r="B959" i="1"/>
  <c r="A960" i="1"/>
  <c r="B960" i="1"/>
  <c r="A961" i="1"/>
  <c r="B961" i="1"/>
  <c r="A962" i="1"/>
  <c r="B962" i="1"/>
  <c r="A963" i="1"/>
  <c r="B963" i="1"/>
  <c r="A964" i="1"/>
  <c r="B964" i="1"/>
  <c r="A965" i="1"/>
  <c r="B965" i="1"/>
  <c r="A966" i="1"/>
  <c r="B966" i="1"/>
  <c r="A967" i="1"/>
  <c r="B967" i="1"/>
  <c r="A968" i="1"/>
  <c r="B968" i="1"/>
  <c r="A969" i="1"/>
  <c r="B969" i="1"/>
  <c r="A970" i="1"/>
  <c r="B970" i="1"/>
  <c r="A971" i="1"/>
  <c r="B971" i="1"/>
  <c r="A972" i="1"/>
  <c r="B972" i="1"/>
  <c r="A973" i="1"/>
  <c r="B973" i="1"/>
  <c r="A974" i="1"/>
  <c r="B974" i="1"/>
  <c r="A975" i="1"/>
  <c r="B975" i="1"/>
  <c r="A976" i="1"/>
  <c r="B976" i="1"/>
  <c r="A977" i="1"/>
  <c r="B977" i="1"/>
  <c r="A978" i="1"/>
  <c r="B978" i="1"/>
  <c r="A979" i="1"/>
  <c r="B979" i="1"/>
  <c r="A980" i="1"/>
  <c r="B980" i="1"/>
  <c r="A981" i="1"/>
  <c r="B981" i="1"/>
  <c r="A982" i="1"/>
  <c r="B982" i="1"/>
  <c r="A983" i="1"/>
  <c r="B983" i="1"/>
  <c r="A984" i="1"/>
  <c r="B984" i="1"/>
  <c r="A985" i="1"/>
  <c r="B985" i="1"/>
  <c r="A986" i="1"/>
  <c r="B986" i="1"/>
  <c r="A987" i="1"/>
  <c r="B987" i="1"/>
  <c r="A988" i="1"/>
  <c r="B988" i="1"/>
  <c r="A989" i="1"/>
  <c r="B989" i="1"/>
  <c r="A990" i="1"/>
  <c r="B990" i="1"/>
  <c r="A991" i="1"/>
  <c r="B991" i="1"/>
  <c r="A992" i="1"/>
  <c r="B992" i="1"/>
  <c r="A993" i="1"/>
  <c r="B993" i="1"/>
  <c r="A994" i="1"/>
  <c r="B994" i="1"/>
  <c r="A995" i="1"/>
  <c r="B995" i="1"/>
  <c r="A996" i="1"/>
  <c r="B996" i="1"/>
  <c r="A997" i="1"/>
  <c r="B997" i="1"/>
  <c r="A998" i="1"/>
  <c r="B998" i="1"/>
  <c r="A999" i="1"/>
  <c r="B999" i="1"/>
  <c r="A1000" i="1"/>
  <c r="B1000" i="1"/>
  <c r="A1001" i="1"/>
  <c r="B1001" i="1"/>
  <c r="A1002" i="1"/>
  <c r="B1002" i="1"/>
  <c r="A1003" i="1"/>
  <c r="B1003" i="1"/>
  <c r="A1004" i="1"/>
  <c r="B1004" i="1"/>
  <c r="A1005" i="1"/>
  <c r="B1005" i="1"/>
  <c r="A1006" i="1"/>
  <c r="B1006" i="1"/>
  <c r="A1007" i="1"/>
  <c r="B1007" i="1"/>
  <c r="A1008" i="1"/>
  <c r="B1008" i="1"/>
  <c r="A1009" i="1"/>
  <c r="B1009" i="1"/>
  <c r="A1010" i="1"/>
  <c r="B1010" i="1"/>
  <c r="A1011" i="1"/>
  <c r="B1011" i="1"/>
  <c r="A1012" i="1"/>
  <c r="B1012" i="1"/>
  <c r="A1013" i="1"/>
  <c r="B1013" i="1"/>
  <c r="A1014" i="1"/>
  <c r="B1014" i="1"/>
  <c r="A1015" i="1"/>
  <c r="B1015" i="1"/>
  <c r="A1016" i="1"/>
  <c r="B1016" i="1"/>
  <c r="A1017" i="1"/>
  <c r="B1017" i="1"/>
  <c r="A1018" i="1"/>
  <c r="B1018" i="1"/>
  <c r="A1019" i="1"/>
  <c r="B1019" i="1"/>
  <c r="A1020" i="1"/>
  <c r="B1020" i="1"/>
  <c r="A1021" i="1"/>
  <c r="B1021" i="1"/>
  <c r="A1022" i="1"/>
  <c r="B1022" i="1"/>
  <c r="A1023" i="1"/>
  <c r="B1023" i="1"/>
  <c r="A1024" i="1"/>
  <c r="B1024" i="1"/>
  <c r="A1025" i="1"/>
  <c r="B1025" i="1"/>
  <c r="A1026" i="1"/>
  <c r="B1026" i="1"/>
  <c r="A1027" i="1"/>
  <c r="B1027" i="1"/>
  <c r="A1028" i="1"/>
  <c r="B1028" i="1"/>
  <c r="A1029" i="1"/>
  <c r="B1029" i="1"/>
  <c r="A1030" i="1"/>
  <c r="B1030" i="1"/>
  <c r="A1031" i="1"/>
  <c r="B1031" i="1"/>
  <c r="A1032" i="1"/>
  <c r="B1032" i="1"/>
  <c r="A1033" i="1"/>
  <c r="B1033" i="1"/>
  <c r="A1034" i="1"/>
  <c r="B1034" i="1"/>
  <c r="A1035" i="1"/>
  <c r="B1035" i="1"/>
  <c r="A1036" i="1"/>
  <c r="B1036" i="1"/>
  <c r="A1037" i="1"/>
  <c r="B1037" i="1"/>
  <c r="A1038" i="1"/>
  <c r="B1038" i="1"/>
  <c r="A1039" i="1"/>
  <c r="B1039" i="1"/>
  <c r="A1040" i="1"/>
  <c r="B1040" i="1"/>
  <c r="A1041" i="1"/>
  <c r="B1041" i="1"/>
  <c r="A1042" i="1"/>
  <c r="B1042" i="1"/>
  <c r="A1043" i="1"/>
  <c r="B1043" i="1"/>
  <c r="A1044" i="1"/>
  <c r="B1044" i="1"/>
  <c r="A1045" i="1"/>
  <c r="B1045" i="1"/>
  <c r="A1046" i="1"/>
  <c r="B1046" i="1"/>
  <c r="A1047" i="1"/>
  <c r="B1047" i="1"/>
  <c r="A1048" i="1"/>
  <c r="B1048" i="1"/>
  <c r="A1049" i="1"/>
  <c r="B1049" i="1"/>
  <c r="A1050" i="1"/>
  <c r="B1050" i="1"/>
  <c r="A1051" i="1"/>
  <c r="B1051" i="1"/>
  <c r="A1052" i="1"/>
  <c r="B1052" i="1"/>
  <c r="A1053" i="1"/>
  <c r="B1053" i="1"/>
  <c r="A1054" i="1"/>
  <c r="B1054" i="1"/>
  <c r="A1055" i="1"/>
  <c r="B1055" i="1"/>
  <c r="A1056" i="1"/>
  <c r="B1056" i="1"/>
  <c r="A1057" i="1"/>
  <c r="B1057" i="1"/>
  <c r="A1058" i="1"/>
  <c r="B1058" i="1"/>
  <c r="A1059" i="1"/>
  <c r="B1059" i="1"/>
  <c r="A1060" i="1"/>
  <c r="B1060" i="1"/>
  <c r="A1061" i="1"/>
  <c r="B1061" i="1"/>
  <c r="A1062" i="1"/>
  <c r="B1062" i="1"/>
  <c r="A1063" i="1"/>
  <c r="B1063" i="1"/>
  <c r="A1064" i="1"/>
  <c r="B1064" i="1"/>
  <c r="A1065" i="1"/>
  <c r="B1065" i="1"/>
  <c r="A1066" i="1"/>
  <c r="B1066" i="1"/>
  <c r="A1067" i="1"/>
  <c r="B1067" i="1"/>
  <c r="A1068" i="1"/>
  <c r="B1068" i="1"/>
  <c r="A1069" i="1"/>
  <c r="B1069" i="1"/>
  <c r="A1070" i="1"/>
  <c r="B1070" i="1"/>
  <c r="A1071" i="1"/>
  <c r="B1071" i="1"/>
  <c r="A1072" i="1"/>
  <c r="B1072" i="1"/>
  <c r="A1073" i="1"/>
  <c r="B1073" i="1"/>
  <c r="A1074" i="1"/>
  <c r="B1074" i="1"/>
  <c r="A1075" i="1"/>
  <c r="B1075" i="1"/>
  <c r="A1076" i="1"/>
  <c r="B1076" i="1"/>
  <c r="A1077" i="1"/>
  <c r="B1077" i="1"/>
  <c r="A1078" i="1"/>
  <c r="B1078" i="1"/>
  <c r="A1079" i="1"/>
  <c r="B1079" i="1"/>
  <c r="A1080" i="1"/>
  <c r="B1080" i="1"/>
  <c r="A1081" i="1"/>
  <c r="B1081" i="1"/>
  <c r="A1082" i="1"/>
  <c r="B1082" i="1"/>
  <c r="A1083" i="1"/>
  <c r="B1083" i="1"/>
  <c r="A1084" i="1"/>
  <c r="B1084" i="1"/>
  <c r="A1085" i="1"/>
  <c r="B1085" i="1"/>
  <c r="A1086" i="1"/>
  <c r="B1086" i="1"/>
  <c r="A1087" i="1"/>
  <c r="B1087" i="1"/>
  <c r="A1088" i="1"/>
  <c r="B1088" i="1"/>
  <c r="A1089" i="1"/>
  <c r="B1089" i="1"/>
  <c r="A1090" i="1"/>
  <c r="B1090" i="1"/>
  <c r="A1091" i="1"/>
  <c r="B1091" i="1"/>
  <c r="A1092" i="1"/>
  <c r="B1092" i="1"/>
  <c r="A1093" i="1"/>
  <c r="B1093" i="1"/>
  <c r="A1094" i="1"/>
  <c r="B1094" i="1"/>
  <c r="A1095" i="1"/>
  <c r="B1095" i="1"/>
  <c r="A1096" i="1"/>
  <c r="B1096" i="1"/>
  <c r="A1097" i="1"/>
  <c r="B1097" i="1"/>
  <c r="A1098" i="1"/>
  <c r="B1098" i="1"/>
  <c r="A1099" i="1"/>
  <c r="B1099" i="1"/>
  <c r="A1100" i="1"/>
  <c r="B1100" i="1"/>
  <c r="A1101" i="1"/>
  <c r="B1101" i="1"/>
  <c r="A1102" i="1"/>
  <c r="B1102" i="1"/>
  <c r="A1103" i="1"/>
  <c r="B1103" i="1"/>
  <c r="A1104" i="1"/>
  <c r="B1104" i="1"/>
  <c r="A1105" i="1"/>
  <c r="B1105" i="1"/>
  <c r="A1106" i="1"/>
  <c r="B1106" i="1"/>
  <c r="A1107" i="1"/>
  <c r="B1107" i="1"/>
  <c r="A1108" i="1"/>
  <c r="B1108" i="1"/>
  <c r="A1109" i="1"/>
  <c r="B1109" i="1"/>
  <c r="A1110" i="1"/>
  <c r="B1110" i="1"/>
  <c r="A1111" i="1"/>
  <c r="B1111" i="1"/>
  <c r="A1112" i="1"/>
  <c r="B1112" i="1"/>
  <c r="A1113" i="1"/>
  <c r="B1113" i="1"/>
  <c r="A1114" i="1"/>
  <c r="B1114" i="1"/>
  <c r="A1115" i="1"/>
  <c r="B1115" i="1"/>
  <c r="A1116" i="1"/>
  <c r="B1116" i="1"/>
  <c r="A1117" i="1"/>
  <c r="B1117" i="1"/>
  <c r="A1118" i="1"/>
  <c r="B1118" i="1"/>
  <c r="A1119" i="1"/>
  <c r="B1119" i="1"/>
  <c r="A1120" i="1"/>
  <c r="B1120" i="1"/>
  <c r="A1121" i="1"/>
  <c r="B1121" i="1"/>
  <c r="A1122" i="1"/>
  <c r="B1122" i="1"/>
  <c r="A1123" i="1"/>
  <c r="B1123" i="1"/>
  <c r="A1124" i="1"/>
  <c r="B1124" i="1"/>
  <c r="A1125" i="1"/>
  <c r="B1125" i="1"/>
  <c r="A1126" i="1"/>
  <c r="B1126" i="1"/>
  <c r="A1127" i="1"/>
  <c r="B1127" i="1"/>
  <c r="A1128" i="1"/>
  <c r="B1128" i="1"/>
  <c r="A1129" i="1"/>
  <c r="B1129" i="1"/>
  <c r="A1130" i="1"/>
  <c r="B1130" i="1"/>
  <c r="A1131" i="1"/>
  <c r="B1131" i="1"/>
  <c r="A1132" i="1"/>
  <c r="B1132" i="1"/>
  <c r="A1133" i="1"/>
  <c r="B1133" i="1"/>
  <c r="A1134" i="1"/>
  <c r="B1134" i="1"/>
  <c r="A1135" i="1"/>
  <c r="B1135" i="1"/>
  <c r="A1136" i="1"/>
  <c r="B1136" i="1"/>
  <c r="A1137" i="1"/>
  <c r="B1137" i="1"/>
  <c r="A1138" i="1"/>
  <c r="B1138" i="1"/>
  <c r="A1139" i="1"/>
  <c r="B1139" i="1"/>
  <c r="A1140" i="1"/>
  <c r="B1140" i="1"/>
  <c r="A1141" i="1"/>
  <c r="B1141" i="1"/>
  <c r="A1142" i="1"/>
  <c r="B1142" i="1"/>
  <c r="A1143" i="1"/>
  <c r="B1143" i="1"/>
  <c r="A1144" i="1"/>
  <c r="B1144" i="1"/>
  <c r="A1145" i="1"/>
  <c r="B1145" i="1"/>
  <c r="A1146" i="1"/>
  <c r="B1146" i="1"/>
  <c r="A1147" i="1"/>
  <c r="B1147" i="1"/>
  <c r="A1148" i="1"/>
  <c r="B1148" i="1"/>
  <c r="A1149" i="1"/>
  <c r="B1149" i="1"/>
  <c r="A1150" i="1"/>
  <c r="B1150" i="1"/>
  <c r="A1151" i="1"/>
  <c r="B1151" i="1"/>
  <c r="A1152" i="1"/>
  <c r="B1152" i="1"/>
  <c r="A1153" i="1"/>
  <c r="B1153" i="1"/>
  <c r="A1154" i="1"/>
  <c r="B1154" i="1"/>
  <c r="A1155" i="1"/>
  <c r="B1155" i="1"/>
  <c r="A1156" i="1"/>
  <c r="B1156" i="1"/>
  <c r="A1157" i="1"/>
  <c r="B1157" i="1"/>
  <c r="A1158" i="1"/>
  <c r="B1158" i="1"/>
  <c r="A1159" i="1"/>
  <c r="B1159" i="1"/>
  <c r="A1160" i="1"/>
  <c r="B1160" i="1"/>
  <c r="A1161" i="1"/>
  <c r="B1161" i="1"/>
  <c r="A1162" i="1"/>
  <c r="B1162" i="1"/>
  <c r="A1163" i="1"/>
  <c r="B1163" i="1"/>
  <c r="A1164" i="1"/>
  <c r="B1164" i="1"/>
  <c r="A1165" i="1"/>
  <c r="B1165" i="1"/>
  <c r="A1166" i="1"/>
  <c r="B1166" i="1"/>
  <c r="A1167" i="1"/>
  <c r="B1167" i="1"/>
  <c r="A1168" i="1"/>
  <c r="B1168" i="1"/>
  <c r="A1169" i="1"/>
  <c r="B1169" i="1"/>
  <c r="A1170" i="1"/>
  <c r="B1170" i="1"/>
  <c r="A1171" i="1"/>
  <c r="B1171" i="1"/>
  <c r="A1172" i="1"/>
  <c r="B1172" i="1"/>
  <c r="A1173" i="1"/>
  <c r="B1173" i="1"/>
  <c r="A1174" i="1"/>
  <c r="B1174" i="1"/>
  <c r="A1175" i="1"/>
  <c r="B1175" i="1"/>
  <c r="A1176" i="1"/>
  <c r="B1176" i="1"/>
  <c r="A1177" i="1"/>
  <c r="B1177" i="1"/>
  <c r="A1178" i="1"/>
  <c r="B1178" i="1"/>
  <c r="A1179" i="1"/>
  <c r="B1179" i="1"/>
  <c r="A1180" i="1"/>
  <c r="B1180" i="1"/>
  <c r="A1181" i="1"/>
  <c r="B1181" i="1"/>
  <c r="A1182" i="1"/>
  <c r="B1182" i="1"/>
  <c r="A1183" i="1"/>
  <c r="B1183" i="1"/>
  <c r="A1184" i="1"/>
  <c r="B1184" i="1"/>
  <c r="A1185" i="1"/>
  <c r="B1185" i="1"/>
  <c r="A1186" i="1"/>
  <c r="B1186" i="1"/>
  <c r="A1187" i="1"/>
  <c r="B1187" i="1"/>
  <c r="A1188" i="1"/>
  <c r="B1188" i="1"/>
  <c r="A1189" i="1"/>
  <c r="B1189" i="1"/>
  <c r="A1190" i="1"/>
  <c r="B1190" i="1"/>
  <c r="A1191" i="1"/>
  <c r="B1191" i="1"/>
  <c r="A1192" i="1"/>
  <c r="B1192" i="1"/>
  <c r="A1193" i="1"/>
  <c r="B1193" i="1"/>
  <c r="A1194" i="1"/>
  <c r="B1194" i="1"/>
  <c r="A1195" i="1"/>
  <c r="B1195" i="1"/>
  <c r="A1196" i="1"/>
  <c r="B1196" i="1"/>
  <c r="A1197" i="1"/>
  <c r="B1197" i="1"/>
  <c r="A1198" i="1"/>
  <c r="B1198" i="1"/>
  <c r="A1199" i="1"/>
  <c r="B1199" i="1"/>
  <c r="A1200" i="1"/>
  <c r="B1200" i="1"/>
  <c r="A1201" i="1"/>
  <c r="B1201" i="1"/>
  <c r="A1202" i="1"/>
  <c r="B1202" i="1"/>
  <c r="A1203" i="1"/>
  <c r="B1203" i="1"/>
  <c r="A1204" i="1"/>
  <c r="B1204" i="1"/>
  <c r="A1205" i="1"/>
  <c r="B1205" i="1"/>
  <c r="A1206" i="1"/>
  <c r="B1206" i="1"/>
  <c r="A1207" i="1"/>
  <c r="B1207" i="1"/>
  <c r="A1208" i="1"/>
  <c r="B1208" i="1"/>
  <c r="A1209" i="1"/>
  <c r="B1209" i="1"/>
  <c r="A1210" i="1"/>
  <c r="B1210" i="1"/>
  <c r="A1211" i="1"/>
  <c r="B1211" i="1"/>
  <c r="A1212" i="1"/>
  <c r="B1212" i="1"/>
  <c r="A1213" i="1"/>
  <c r="B1213" i="1"/>
  <c r="A1214" i="1"/>
  <c r="B1214" i="1"/>
  <c r="A1215" i="1"/>
  <c r="B1215" i="1"/>
  <c r="A1216" i="1"/>
  <c r="B1216" i="1"/>
  <c r="A1217" i="1"/>
  <c r="B1217" i="1"/>
  <c r="A1218" i="1"/>
  <c r="B1218" i="1"/>
  <c r="A1219" i="1"/>
  <c r="B1219" i="1"/>
  <c r="A1220" i="1"/>
  <c r="B1220" i="1"/>
  <c r="A1221" i="1"/>
  <c r="B1221" i="1"/>
  <c r="A1222" i="1"/>
  <c r="B1222" i="1"/>
  <c r="A1223" i="1"/>
  <c r="B1223" i="1"/>
  <c r="A1224" i="1"/>
  <c r="B1224" i="1"/>
  <c r="A1225" i="1"/>
  <c r="B1225" i="1"/>
  <c r="A1226" i="1"/>
  <c r="B1226" i="1"/>
  <c r="A1227" i="1"/>
  <c r="B1227" i="1"/>
  <c r="A1228" i="1"/>
  <c r="B1228" i="1"/>
  <c r="A1229" i="1"/>
  <c r="B1229" i="1"/>
  <c r="A1230" i="1"/>
  <c r="B1230" i="1"/>
  <c r="A1231" i="1"/>
  <c r="B1231" i="1"/>
  <c r="A1232" i="1"/>
  <c r="B1232" i="1"/>
  <c r="A1233" i="1"/>
  <c r="B1233" i="1"/>
  <c r="A1234" i="1"/>
  <c r="B1234" i="1"/>
  <c r="A1235" i="1"/>
  <c r="B1235" i="1"/>
  <c r="A1236" i="1"/>
  <c r="B1236" i="1"/>
  <c r="A1237" i="1"/>
  <c r="B1237" i="1"/>
  <c r="A1238" i="1"/>
  <c r="B1238" i="1"/>
  <c r="A1239" i="1"/>
  <c r="B1239" i="1"/>
  <c r="A1240" i="1"/>
  <c r="B1240" i="1"/>
  <c r="A1241" i="1"/>
  <c r="B1241" i="1"/>
  <c r="A1242" i="1"/>
  <c r="B1242" i="1"/>
  <c r="A1243" i="1"/>
  <c r="B1243" i="1"/>
  <c r="A1244" i="1"/>
  <c r="B1244" i="1"/>
  <c r="A1245" i="1"/>
  <c r="B1245" i="1"/>
  <c r="A1246" i="1"/>
  <c r="B1246" i="1"/>
  <c r="A1247" i="1"/>
  <c r="B1247" i="1"/>
  <c r="A1248" i="1"/>
  <c r="B1248" i="1"/>
  <c r="A1249" i="1"/>
  <c r="B1249" i="1"/>
  <c r="A1250" i="1"/>
  <c r="B1250" i="1"/>
  <c r="A1251" i="1"/>
  <c r="B1251" i="1"/>
  <c r="A1252" i="1"/>
  <c r="B1252" i="1"/>
  <c r="A1253" i="1"/>
  <c r="B1253" i="1"/>
  <c r="A1254" i="1"/>
  <c r="B1254" i="1"/>
  <c r="A1255" i="1"/>
  <c r="B1255" i="1"/>
  <c r="A1256" i="1"/>
  <c r="B1256" i="1"/>
  <c r="A1257" i="1"/>
  <c r="B1257" i="1"/>
  <c r="A1258" i="1"/>
  <c r="B1258" i="1"/>
  <c r="A1259" i="1"/>
  <c r="B1259" i="1"/>
  <c r="A1260" i="1"/>
  <c r="B1260" i="1"/>
  <c r="A1261" i="1"/>
  <c r="B1261" i="1"/>
  <c r="A1262" i="1"/>
  <c r="B1262" i="1"/>
  <c r="A1263" i="1"/>
  <c r="B1263" i="1"/>
  <c r="A1264" i="1"/>
  <c r="B1264" i="1"/>
  <c r="A1265" i="1"/>
  <c r="B1265" i="1"/>
  <c r="A1266" i="1"/>
  <c r="B1266" i="1"/>
  <c r="A1267" i="1"/>
  <c r="B1267" i="1"/>
  <c r="A1268" i="1"/>
  <c r="B1268" i="1"/>
  <c r="A1269" i="1"/>
  <c r="B1269" i="1"/>
  <c r="A1270" i="1"/>
  <c r="B1270" i="1"/>
  <c r="A1271" i="1"/>
  <c r="B1271" i="1"/>
  <c r="A1272" i="1"/>
  <c r="B1272" i="1"/>
  <c r="A1273" i="1"/>
  <c r="B1273" i="1"/>
  <c r="A1274" i="1"/>
  <c r="B1274" i="1"/>
  <c r="A1275" i="1"/>
  <c r="B1275" i="1"/>
  <c r="A1276" i="1"/>
  <c r="B1276" i="1"/>
  <c r="A1277" i="1"/>
  <c r="B1277" i="1"/>
  <c r="A1278" i="1"/>
  <c r="B1278" i="1"/>
  <c r="A1279" i="1"/>
  <c r="B1279" i="1"/>
  <c r="A1280" i="1"/>
  <c r="B1280" i="1"/>
  <c r="A1281" i="1"/>
  <c r="B1281" i="1"/>
  <c r="A1282" i="1"/>
  <c r="B1282" i="1"/>
  <c r="A1283" i="1"/>
  <c r="B1283" i="1"/>
  <c r="A1284" i="1"/>
  <c r="B1284" i="1"/>
  <c r="A1285" i="1"/>
  <c r="B1285" i="1"/>
  <c r="A1286" i="1"/>
  <c r="B1286" i="1"/>
  <c r="A1287" i="1"/>
  <c r="B1287" i="1"/>
  <c r="A1288" i="1"/>
  <c r="B1288" i="1"/>
  <c r="A1289" i="1"/>
  <c r="B1289" i="1"/>
  <c r="A1290" i="1"/>
  <c r="B1290" i="1"/>
  <c r="A1291" i="1"/>
  <c r="B1291" i="1"/>
  <c r="A1292" i="1"/>
  <c r="B1292" i="1"/>
  <c r="A1293" i="1"/>
  <c r="B1293" i="1"/>
  <c r="A1294" i="1"/>
  <c r="B1294" i="1"/>
  <c r="A1295" i="1"/>
  <c r="B1295" i="1"/>
  <c r="A1296" i="1"/>
  <c r="B1296" i="1"/>
  <c r="A1297" i="1"/>
  <c r="B1297" i="1"/>
  <c r="A1298" i="1"/>
  <c r="B1298" i="1"/>
  <c r="A1299" i="1"/>
  <c r="B1299" i="1"/>
  <c r="A1300" i="1"/>
  <c r="B1300" i="1"/>
  <c r="A1301" i="1"/>
  <c r="B1301" i="1"/>
  <c r="A1302" i="1"/>
  <c r="B1302" i="1"/>
  <c r="A1303" i="1"/>
  <c r="B1303" i="1"/>
  <c r="A1304" i="1"/>
  <c r="B1304" i="1"/>
  <c r="A1305" i="1"/>
  <c r="B1305" i="1"/>
  <c r="A1306" i="1"/>
  <c r="B1306" i="1"/>
  <c r="A1307" i="1"/>
  <c r="B1307" i="1"/>
  <c r="A1308" i="1"/>
  <c r="B1308" i="1"/>
  <c r="A1309" i="1"/>
  <c r="B1309" i="1"/>
  <c r="A1310" i="1"/>
  <c r="B1310" i="1"/>
  <c r="A1311" i="1"/>
  <c r="B1311" i="1"/>
  <c r="A1312" i="1"/>
  <c r="B1312" i="1"/>
  <c r="A1313" i="1"/>
  <c r="B1313" i="1"/>
  <c r="A1314" i="1"/>
  <c r="B1314" i="1"/>
  <c r="A1315" i="1"/>
  <c r="B1315" i="1"/>
  <c r="A1316" i="1"/>
  <c r="B1316" i="1"/>
  <c r="A1317" i="1"/>
  <c r="B1317" i="1"/>
  <c r="A1318" i="1"/>
  <c r="B1318" i="1"/>
  <c r="A1319" i="1"/>
  <c r="B1319" i="1"/>
  <c r="A1320" i="1"/>
  <c r="B1320" i="1"/>
  <c r="A1321" i="1"/>
  <c r="B1321" i="1"/>
  <c r="A1322" i="1"/>
  <c r="B1322" i="1"/>
  <c r="A1323" i="1"/>
  <c r="B1323" i="1"/>
  <c r="A1324" i="1"/>
  <c r="B1324" i="1"/>
  <c r="A1325" i="1"/>
  <c r="B1325" i="1"/>
  <c r="A1326" i="1"/>
  <c r="B1326" i="1"/>
  <c r="A1327" i="1"/>
  <c r="B1327" i="1"/>
  <c r="A1328" i="1"/>
  <c r="B1328" i="1"/>
  <c r="A1329" i="1"/>
  <c r="B1329" i="1"/>
  <c r="A1330" i="1"/>
  <c r="B1330" i="1"/>
  <c r="A1331" i="1"/>
  <c r="B1331" i="1"/>
  <c r="A1332" i="1"/>
  <c r="B1332" i="1"/>
  <c r="A1333" i="1"/>
  <c r="B1333" i="1"/>
  <c r="A1334" i="1"/>
  <c r="B1334" i="1"/>
  <c r="A1335" i="1"/>
  <c r="B1335" i="1"/>
  <c r="A1336" i="1"/>
  <c r="B1336" i="1"/>
  <c r="A1337" i="1"/>
  <c r="B1337" i="1"/>
  <c r="A1338" i="1"/>
  <c r="B1338" i="1"/>
  <c r="A1339" i="1"/>
  <c r="B1339" i="1"/>
  <c r="A1340" i="1"/>
  <c r="B1340" i="1"/>
  <c r="A1341" i="1"/>
  <c r="B1341" i="1"/>
  <c r="A1342" i="1"/>
  <c r="B1342" i="1"/>
  <c r="A1343" i="1"/>
  <c r="B1343" i="1"/>
  <c r="A1344" i="1"/>
  <c r="B1344" i="1"/>
  <c r="A1345" i="1"/>
  <c r="B1345" i="1"/>
  <c r="A1346" i="1"/>
  <c r="B1346" i="1"/>
  <c r="A1347" i="1"/>
  <c r="B1347" i="1"/>
  <c r="A1348" i="1"/>
  <c r="B1348" i="1"/>
  <c r="A1349" i="1"/>
  <c r="B1349" i="1"/>
  <c r="A1350" i="1"/>
  <c r="B1350" i="1"/>
  <c r="A1351" i="1"/>
  <c r="B1351" i="1"/>
  <c r="A1352" i="1"/>
  <c r="B1352" i="1"/>
  <c r="A1353" i="1"/>
  <c r="B1353" i="1"/>
  <c r="A1354" i="1"/>
  <c r="B1354" i="1"/>
  <c r="A1355" i="1"/>
  <c r="B1355" i="1"/>
  <c r="A1356" i="1"/>
  <c r="B1356" i="1"/>
  <c r="A1357" i="1"/>
  <c r="B1357" i="1"/>
  <c r="A1358" i="1"/>
  <c r="B1358" i="1"/>
  <c r="A1359" i="1"/>
  <c r="B1359" i="1"/>
  <c r="A1360" i="1"/>
  <c r="B1360" i="1"/>
  <c r="A1361" i="1"/>
  <c r="B1361" i="1"/>
  <c r="A1362" i="1"/>
  <c r="B1362" i="1"/>
  <c r="A1363" i="1"/>
  <c r="B1363" i="1"/>
  <c r="A1364" i="1"/>
  <c r="B1364" i="1"/>
  <c r="A1365" i="1"/>
  <c r="B1365" i="1"/>
  <c r="A1366" i="1"/>
  <c r="B1366" i="1"/>
  <c r="A1367" i="1"/>
  <c r="B1367" i="1"/>
  <c r="A1368" i="1"/>
  <c r="B1368" i="1"/>
  <c r="A1369" i="1"/>
  <c r="B1369" i="1"/>
  <c r="A1370" i="1"/>
  <c r="B1370" i="1"/>
  <c r="A1371" i="1"/>
  <c r="B1371" i="1"/>
  <c r="A1372" i="1"/>
  <c r="B1372" i="1"/>
  <c r="A1373" i="1"/>
  <c r="B1373" i="1"/>
  <c r="A1374" i="1"/>
  <c r="B1374" i="1"/>
  <c r="A1375" i="1"/>
  <c r="B1375" i="1"/>
  <c r="A1376" i="1"/>
  <c r="B1376" i="1"/>
  <c r="A1377" i="1"/>
  <c r="B1377" i="1"/>
  <c r="A1378" i="1"/>
  <c r="B1378" i="1"/>
  <c r="A1379" i="1"/>
  <c r="B1379" i="1"/>
  <c r="A1380" i="1"/>
  <c r="B1380" i="1"/>
  <c r="A1381" i="1"/>
  <c r="B1381" i="1"/>
  <c r="A1382" i="1"/>
  <c r="B1382" i="1"/>
  <c r="A1383" i="1"/>
  <c r="B1383" i="1"/>
  <c r="A1384" i="1"/>
  <c r="B1384" i="1"/>
  <c r="A1385" i="1"/>
  <c r="B1385" i="1"/>
  <c r="A1386" i="1"/>
  <c r="B1386" i="1"/>
  <c r="A1387" i="1"/>
  <c r="B1387" i="1"/>
  <c r="A1388" i="1"/>
  <c r="B1388" i="1"/>
  <c r="A1389" i="1"/>
  <c r="B1389" i="1"/>
  <c r="A1390" i="1"/>
  <c r="B1390" i="1"/>
  <c r="A1391" i="1"/>
  <c r="B1391" i="1"/>
  <c r="A1392" i="1"/>
  <c r="B1392" i="1"/>
  <c r="A1393" i="1"/>
  <c r="B1393" i="1"/>
  <c r="A1394" i="1"/>
  <c r="B1394" i="1"/>
  <c r="A1395" i="1"/>
  <c r="B1395" i="1"/>
  <c r="A1396" i="1"/>
  <c r="B1396" i="1"/>
  <c r="A1397" i="1"/>
  <c r="B1397" i="1"/>
  <c r="A1398" i="1"/>
  <c r="B1398" i="1"/>
  <c r="A1399" i="1"/>
  <c r="B1399" i="1"/>
  <c r="A1400" i="1"/>
  <c r="B1400" i="1"/>
  <c r="A1401" i="1"/>
  <c r="B1401" i="1"/>
  <c r="A1402" i="1"/>
  <c r="B1402" i="1"/>
  <c r="A1403" i="1"/>
  <c r="B1403" i="1"/>
  <c r="A1404" i="1"/>
  <c r="B1404" i="1"/>
  <c r="A1405" i="1"/>
  <c r="B1405" i="1"/>
  <c r="A1406" i="1"/>
  <c r="B1406" i="1"/>
  <c r="A1407" i="1"/>
  <c r="B1407" i="1"/>
  <c r="A1408" i="1"/>
  <c r="B1408" i="1"/>
  <c r="A1409" i="1"/>
  <c r="B1409" i="1"/>
  <c r="A1410" i="1"/>
  <c r="B1410" i="1"/>
  <c r="A1411" i="1"/>
  <c r="B1411" i="1"/>
  <c r="A1412" i="1"/>
  <c r="B1412" i="1"/>
  <c r="A1413" i="1"/>
  <c r="B1413" i="1"/>
  <c r="A1414" i="1"/>
  <c r="B1414" i="1"/>
  <c r="A1415" i="1"/>
  <c r="B1415" i="1"/>
  <c r="A1416" i="1"/>
  <c r="B1416" i="1"/>
  <c r="A1417" i="1"/>
  <c r="B1417" i="1"/>
  <c r="A1418" i="1"/>
  <c r="B1418" i="1"/>
  <c r="A1419" i="1"/>
  <c r="B1419" i="1"/>
  <c r="A1420" i="1"/>
  <c r="B1420" i="1"/>
  <c r="A1421" i="1"/>
  <c r="B1421" i="1"/>
  <c r="A1422" i="1"/>
  <c r="B1422" i="1"/>
  <c r="A1423" i="1"/>
  <c r="B1423" i="1"/>
  <c r="A1424" i="1"/>
  <c r="B1424" i="1"/>
  <c r="A1425" i="1"/>
  <c r="B1425" i="1"/>
  <c r="A1426" i="1"/>
  <c r="B1426" i="1"/>
  <c r="A1427" i="1"/>
  <c r="B1427" i="1"/>
  <c r="A1428" i="1"/>
  <c r="B1428" i="1"/>
  <c r="A1429" i="1"/>
  <c r="B1429" i="1"/>
  <c r="A1430" i="1"/>
  <c r="B1430" i="1"/>
  <c r="A1431" i="1"/>
  <c r="B1431" i="1"/>
  <c r="A1432" i="1"/>
  <c r="B1432" i="1"/>
  <c r="A1433" i="1"/>
  <c r="B1433" i="1"/>
  <c r="A1434" i="1"/>
  <c r="B1434" i="1"/>
  <c r="A1435" i="1"/>
  <c r="B1435" i="1"/>
  <c r="A1436" i="1"/>
  <c r="B1436" i="1"/>
  <c r="A1437" i="1"/>
  <c r="B1437" i="1"/>
  <c r="A1438" i="1"/>
  <c r="B1438" i="1"/>
  <c r="A1439" i="1"/>
  <c r="B1439" i="1"/>
  <c r="A1440" i="1"/>
  <c r="B1440" i="1"/>
  <c r="A1441" i="1"/>
  <c r="B1441" i="1"/>
  <c r="A1442" i="1"/>
  <c r="B1442" i="1"/>
  <c r="A1443" i="1"/>
  <c r="B1443" i="1"/>
  <c r="A1444" i="1"/>
  <c r="B1444" i="1"/>
  <c r="A1445" i="1"/>
  <c r="B1445" i="1"/>
  <c r="A1446" i="1"/>
  <c r="B1446" i="1"/>
  <c r="A1447" i="1"/>
  <c r="B1447" i="1"/>
  <c r="A1448" i="1"/>
  <c r="B1448" i="1"/>
  <c r="A1449" i="1"/>
  <c r="B1449" i="1"/>
  <c r="A1450" i="1"/>
  <c r="B1450" i="1"/>
  <c r="A1451" i="1"/>
  <c r="B1451" i="1"/>
  <c r="A1452" i="1"/>
  <c r="B1452" i="1"/>
  <c r="A1453" i="1"/>
  <c r="B1453" i="1"/>
  <c r="A1454" i="1"/>
  <c r="B1454" i="1"/>
  <c r="A1455" i="1"/>
  <c r="B1455" i="1"/>
  <c r="A1456" i="1"/>
  <c r="B1456" i="1"/>
  <c r="A1457" i="1"/>
  <c r="B1457" i="1"/>
  <c r="A1458" i="1"/>
  <c r="B1458" i="1"/>
  <c r="A1459" i="1"/>
  <c r="B1459" i="1"/>
  <c r="A1460" i="1"/>
  <c r="B1460" i="1"/>
  <c r="A1461" i="1"/>
  <c r="B1461" i="1"/>
  <c r="A1462" i="1"/>
  <c r="B1462" i="1"/>
  <c r="A1463" i="1"/>
  <c r="B1463" i="1"/>
  <c r="A1464" i="1"/>
  <c r="B1464" i="1"/>
  <c r="A1465" i="1"/>
  <c r="B1465" i="1"/>
  <c r="A1466" i="1"/>
  <c r="B1466" i="1"/>
  <c r="A1467" i="1"/>
  <c r="B1467" i="1"/>
  <c r="A1468" i="1"/>
  <c r="B1468" i="1"/>
  <c r="A1469" i="1"/>
  <c r="B1469" i="1"/>
  <c r="A1470" i="1"/>
  <c r="B1470" i="1"/>
  <c r="A1471" i="1"/>
  <c r="B1471" i="1"/>
  <c r="A1472" i="1"/>
  <c r="B1472" i="1"/>
  <c r="A1473" i="1"/>
  <c r="B1473" i="1"/>
  <c r="A1474" i="1"/>
  <c r="B1474" i="1"/>
  <c r="A1475" i="1"/>
  <c r="B1475" i="1"/>
  <c r="A1476" i="1"/>
  <c r="B1476" i="1"/>
  <c r="A1477" i="1"/>
  <c r="B1477" i="1"/>
  <c r="A1478" i="1"/>
  <c r="B1478" i="1"/>
  <c r="A1479" i="1"/>
  <c r="B1479" i="1"/>
  <c r="A1480" i="1"/>
  <c r="B1480" i="1"/>
  <c r="A1481" i="1"/>
  <c r="B1481" i="1"/>
  <c r="A1482" i="1"/>
  <c r="B1482" i="1"/>
  <c r="A1483" i="1"/>
  <c r="B1483" i="1"/>
  <c r="A1484" i="1"/>
  <c r="B1484" i="1"/>
  <c r="A1485" i="1"/>
  <c r="B1485" i="1"/>
  <c r="A1486" i="1"/>
  <c r="B1486" i="1"/>
  <c r="A1487" i="1"/>
  <c r="B1487" i="1"/>
  <c r="A1488" i="1"/>
  <c r="B1488" i="1"/>
  <c r="A1489" i="1"/>
  <c r="B1489" i="1"/>
  <c r="A1490" i="1"/>
  <c r="B1490" i="1"/>
  <c r="A1491" i="1"/>
  <c r="B1491" i="1"/>
  <c r="A1492" i="1"/>
  <c r="B1492" i="1"/>
  <c r="A1493" i="1"/>
  <c r="B1493" i="1"/>
  <c r="A1494" i="1"/>
  <c r="B1494" i="1"/>
  <c r="A1495" i="1"/>
  <c r="B1495" i="1"/>
  <c r="A1496" i="1"/>
  <c r="B1496" i="1"/>
  <c r="A1497" i="1"/>
  <c r="B1497" i="1"/>
  <c r="A1498" i="1"/>
  <c r="B1498" i="1"/>
  <c r="A1499" i="1"/>
  <c r="B1499" i="1"/>
  <c r="A1500" i="1"/>
  <c r="B1500" i="1"/>
  <c r="A1501" i="1"/>
  <c r="B1501" i="1"/>
  <c r="A1502" i="1"/>
  <c r="B1502" i="1"/>
  <c r="A1503" i="1"/>
  <c r="B1503" i="1"/>
  <c r="A1504" i="1"/>
  <c r="B1504" i="1"/>
  <c r="A1505" i="1"/>
  <c r="B1505" i="1"/>
  <c r="A1506" i="1"/>
  <c r="B1506" i="1"/>
  <c r="A1507" i="1"/>
  <c r="B1507" i="1"/>
  <c r="A1508" i="1"/>
  <c r="B1508" i="1"/>
  <c r="A1509" i="1"/>
  <c r="B1509" i="1"/>
  <c r="A1510" i="1"/>
  <c r="B1510" i="1"/>
  <c r="A1511" i="1"/>
  <c r="B1511" i="1"/>
  <c r="A1512" i="1"/>
  <c r="B1512" i="1"/>
  <c r="A1513" i="1"/>
  <c r="B1513" i="1"/>
  <c r="A1514" i="1"/>
  <c r="B1514" i="1"/>
  <c r="A1515" i="1"/>
  <c r="B1515" i="1"/>
  <c r="A1516" i="1"/>
  <c r="B1516" i="1"/>
  <c r="A1517" i="1"/>
  <c r="B1517" i="1"/>
  <c r="A1518" i="1"/>
  <c r="B1518" i="1"/>
  <c r="A1519" i="1"/>
  <c r="B1519" i="1"/>
  <c r="A1520" i="1"/>
  <c r="B1520" i="1"/>
  <c r="A1521" i="1"/>
  <c r="B1521" i="1"/>
  <c r="A1522" i="1"/>
  <c r="B1522" i="1"/>
  <c r="A1523" i="1"/>
  <c r="B1523" i="1"/>
  <c r="A1524" i="1"/>
  <c r="B1524" i="1"/>
  <c r="A1525" i="1"/>
  <c r="B1525" i="1"/>
  <c r="A1526" i="1"/>
  <c r="B1526" i="1"/>
  <c r="A1527" i="1"/>
  <c r="B1527" i="1"/>
  <c r="A1528" i="1"/>
  <c r="B1528" i="1"/>
  <c r="A1529" i="1"/>
  <c r="B1529" i="1"/>
  <c r="A1530" i="1"/>
  <c r="B1530" i="1"/>
  <c r="A1531" i="1"/>
  <c r="B1531" i="1"/>
  <c r="A1532" i="1"/>
  <c r="B1532" i="1"/>
  <c r="A1533" i="1"/>
  <c r="B1533" i="1"/>
  <c r="A1534" i="1"/>
  <c r="B1534" i="1"/>
  <c r="A1535" i="1"/>
  <c r="B1535" i="1"/>
  <c r="A1536" i="1"/>
  <c r="B1536" i="1"/>
  <c r="A1537" i="1"/>
  <c r="B1537" i="1"/>
  <c r="A1538" i="1"/>
  <c r="B1538" i="1"/>
  <c r="A1539" i="1"/>
  <c r="B1539" i="1"/>
  <c r="A1540" i="1"/>
  <c r="B1540" i="1"/>
  <c r="A1541" i="1"/>
  <c r="B1541" i="1"/>
  <c r="A1542" i="1"/>
  <c r="B1542" i="1"/>
  <c r="A1543" i="1"/>
  <c r="B1543" i="1"/>
  <c r="A1544" i="1"/>
  <c r="B1544" i="1"/>
  <c r="A1545" i="1"/>
  <c r="B1545" i="1"/>
  <c r="A1546" i="1"/>
  <c r="B1546" i="1"/>
  <c r="A1547" i="1"/>
  <c r="B1547" i="1"/>
  <c r="A1548" i="1"/>
  <c r="B1548" i="1"/>
  <c r="A1549" i="1"/>
  <c r="B1549" i="1"/>
  <c r="A1550" i="1"/>
  <c r="B1550" i="1"/>
  <c r="A1551" i="1"/>
  <c r="B1551" i="1"/>
  <c r="A1552" i="1"/>
  <c r="B1552" i="1"/>
  <c r="A1553" i="1"/>
  <c r="B1553" i="1"/>
  <c r="A1554" i="1"/>
  <c r="B1554" i="1"/>
  <c r="A1555" i="1"/>
  <c r="B1555" i="1"/>
  <c r="A1556" i="1"/>
  <c r="B1556" i="1"/>
  <c r="A1557" i="1"/>
  <c r="B1557" i="1"/>
  <c r="A1558" i="1"/>
  <c r="B1558" i="1"/>
  <c r="A1559" i="1"/>
  <c r="B1559" i="1"/>
  <c r="A1560" i="1"/>
  <c r="B1560" i="1"/>
  <c r="A1561" i="1"/>
  <c r="B1561" i="1"/>
  <c r="A1562" i="1"/>
  <c r="B1562" i="1"/>
  <c r="A1563" i="1"/>
  <c r="B1563" i="1"/>
  <c r="A1564" i="1"/>
  <c r="B1564" i="1"/>
  <c r="A1565" i="1"/>
  <c r="B1565" i="1"/>
  <c r="A1566" i="1"/>
  <c r="B1566" i="1"/>
  <c r="A1567" i="1"/>
  <c r="B1567" i="1"/>
  <c r="A1568" i="1"/>
  <c r="B1568" i="1"/>
  <c r="A1569" i="1"/>
  <c r="B1569" i="1"/>
  <c r="A1570" i="1"/>
  <c r="B1570" i="1"/>
  <c r="A1571" i="1"/>
  <c r="B1571" i="1"/>
  <c r="A1572" i="1"/>
  <c r="B1572" i="1"/>
  <c r="A1573" i="1"/>
  <c r="B1573" i="1"/>
  <c r="A1574" i="1"/>
  <c r="B1574" i="1"/>
  <c r="A1575" i="1"/>
  <c r="B1575" i="1"/>
  <c r="A1576" i="1"/>
  <c r="B1576" i="1"/>
  <c r="A1577" i="1"/>
  <c r="B1577" i="1"/>
  <c r="A1578" i="1"/>
  <c r="B1578" i="1"/>
  <c r="A1579" i="1"/>
  <c r="B1579" i="1"/>
  <c r="A1580" i="1"/>
  <c r="B1580" i="1"/>
  <c r="A1581" i="1"/>
  <c r="B1581" i="1"/>
  <c r="A1582" i="1"/>
  <c r="B1582" i="1"/>
  <c r="A1583" i="1"/>
  <c r="B1583" i="1"/>
  <c r="A1584" i="1"/>
  <c r="B1584" i="1"/>
  <c r="A1585" i="1"/>
  <c r="B1585" i="1"/>
  <c r="A1586" i="1"/>
  <c r="B1586" i="1"/>
  <c r="A1587" i="1"/>
  <c r="B1587" i="1"/>
  <c r="A1588" i="1"/>
  <c r="B1588" i="1"/>
  <c r="A1589" i="1"/>
  <c r="B1589" i="1"/>
  <c r="A1590" i="1"/>
  <c r="B1590" i="1"/>
  <c r="A1591" i="1"/>
  <c r="B1591" i="1"/>
  <c r="A1592" i="1"/>
  <c r="B1592" i="1"/>
  <c r="A1593" i="1"/>
  <c r="B1593" i="1"/>
  <c r="A1594" i="1"/>
  <c r="B1594" i="1"/>
  <c r="A1595" i="1"/>
  <c r="B1595" i="1"/>
  <c r="A1596" i="1"/>
  <c r="B1596" i="1"/>
  <c r="A1597" i="1"/>
  <c r="B1597" i="1"/>
  <c r="A1598" i="1"/>
  <c r="B1598" i="1"/>
  <c r="A1599" i="1"/>
  <c r="B1599" i="1"/>
  <c r="A1600" i="1"/>
  <c r="B1600" i="1"/>
  <c r="A1601" i="1"/>
  <c r="B1601" i="1"/>
  <c r="A1602" i="1"/>
  <c r="B1602" i="1"/>
  <c r="A1603" i="1"/>
  <c r="B1603" i="1"/>
  <c r="A1604" i="1"/>
  <c r="B1604" i="1"/>
  <c r="A1605" i="1"/>
  <c r="B1605" i="1"/>
  <c r="A1606" i="1"/>
  <c r="B1606" i="1"/>
  <c r="A1607" i="1"/>
  <c r="B1607" i="1"/>
  <c r="A1608" i="1"/>
  <c r="B1608" i="1"/>
  <c r="A1609" i="1"/>
  <c r="B1609" i="1"/>
  <c r="A1610" i="1"/>
  <c r="B1610" i="1"/>
  <c r="A1611" i="1"/>
  <c r="B1611" i="1"/>
  <c r="A1612" i="1"/>
  <c r="B1612" i="1"/>
  <c r="A1613" i="1"/>
  <c r="B1613" i="1"/>
  <c r="A1614" i="1"/>
  <c r="B1614" i="1"/>
  <c r="A1615" i="1"/>
  <c r="B1615" i="1"/>
  <c r="A1616" i="1"/>
  <c r="B1616" i="1"/>
  <c r="A1617" i="1"/>
  <c r="B1617" i="1"/>
  <c r="A1618" i="1"/>
  <c r="B1618" i="1"/>
  <c r="A1619" i="1"/>
  <c r="B1619" i="1"/>
  <c r="A1620" i="1"/>
  <c r="B1620" i="1"/>
  <c r="A1621" i="1"/>
  <c r="B1621" i="1"/>
  <c r="A1622" i="1"/>
  <c r="B1622" i="1"/>
  <c r="A1623" i="1"/>
  <c r="B1623" i="1"/>
  <c r="A1624" i="1"/>
  <c r="B1624" i="1"/>
  <c r="A1625" i="1"/>
  <c r="B1625" i="1"/>
  <c r="A1626" i="1"/>
  <c r="B1626" i="1"/>
  <c r="A1627" i="1"/>
  <c r="B1627" i="1"/>
  <c r="A1628" i="1"/>
  <c r="B1628" i="1"/>
  <c r="A1629" i="1"/>
  <c r="B1629" i="1"/>
  <c r="A1630" i="1"/>
  <c r="B1630" i="1"/>
  <c r="A1631" i="1"/>
  <c r="B1631" i="1"/>
  <c r="A1632" i="1"/>
  <c r="B1632" i="1"/>
  <c r="A1633" i="1"/>
  <c r="B1633" i="1"/>
  <c r="A1634" i="1"/>
  <c r="B1634" i="1"/>
  <c r="A1635" i="1"/>
  <c r="B1635" i="1"/>
  <c r="A1636" i="1"/>
  <c r="B1636" i="1"/>
  <c r="A1637" i="1"/>
  <c r="B1637" i="1"/>
  <c r="A1638" i="1"/>
  <c r="B1638" i="1"/>
  <c r="A1639" i="1"/>
  <c r="B1639" i="1"/>
  <c r="A1640" i="1"/>
  <c r="B1640" i="1"/>
  <c r="A1641" i="1"/>
  <c r="B1641" i="1"/>
  <c r="A1642" i="1"/>
  <c r="B1642" i="1"/>
  <c r="A1643" i="1"/>
  <c r="B1643" i="1"/>
  <c r="A1644" i="1"/>
  <c r="B1644" i="1"/>
  <c r="A1645" i="1"/>
  <c r="B1645" i="1"/>
  <c r="A1646" i="1"/>
  <c r="B1646" i="1"/>
  <c r="A1647" i="1"/>
  <c r="B1647" i="1"/>
  <c r="A1648" i="1"/>
  <c r="B1648" i="1"/>
  <c r="A1649" i="1"/>
  <c r="B1649" i="1"/>
  <c r="A1650" i="1"/>
  <c r="B1650" i="1"/>
  <c r="A1651" i="1"/>
  <c r="B1651" i="1"/>
  <c r="A1652" i="1"/>
  <c r="B1652" i="1"/>
  <c r="A1653" i="1"/>
  <c r="B1653" i="1"/>
  <c r="A1654" i="1"/>
  <c r="B1654" i="1"/>
  <c r="A1655" i="1"/>
  <c r="B1655" i="1"/>
  <c r="A1656" i="1"/>
  <c r="B1656" i="1"/>
  <c r="A1657" i="1"/>
  <c r="B1657" i="1"/>
  <c r="A1658" i="1"/>
  <c r="B1658" i="1"/>
  <c r="A1659" i="1"/>
  <c r="B1659" i="1"/>
  <c r="A1660" i="1"/>
  <c r="B1660" i="1"/>
  <c r="A1661" i="1"/>
  <c r="B1661" i="1"/>
  <c r="A1662" i="1"/>
  <c r="B1662" i="1"/>
  <c r="A1663" i="1"/>
  <c r="B1663" i="1"/>
  <c r="A1664" i="1"/>
  <c r="B1664" i="1"/>
  <c r="A1665" i="1"/>
  <c r="B1665" i="1"/>
  <c r="A1666" i="1"/>
  <c r="B1666" i="1"/>
  <c r="A1667" i="1"/>
  <c r="B1667" i="1"/>
  <c r="A1668" i="1"/>
  <c r="B1668" i="1"/>
  <c r="A1669" i="1"/>
  <c r="B1669" i="1"/>
  <c r="A1670" i="1"/>
  <c r="B1670" i="1"/>
  <c r="A1671" i="1"/>
  <c r="B1671" i="1"/>
  <c r="A1672" i="1"/>
  <c r="B1672" i="1"/>
  <c r="A1673" i="1"/>
  <c r="B1673" i="1"/>
  <c r="A1674" i="1"/>
  <c r="B1674" i="1"/>
  <c r="A1675" i="1"/>
  <c r="B1675" i="1"/>
  <c r="A1676" i="1"/>
  <c r="B1676" i="1"/>
  <c r="A1677" i="1"/>
  <c r="B1677" i="1"/>
  <c r="A1678" i="1"/>
  <c r="B1678" i="1"/>
  <c r="A1679" i="1"/>
  <c r="B1679" i="1"/>
  <c r="A1680" i="1"/>
  <c r="B1680" i="1"/>
  <c r="A1681" i="1"/>
  <c r="B1681" i="1"/>
  <c r="A1682" i="1"/>
  <c r="B1682" i="1"/>
  <c r="A1683" i="1"/>
  <c r="B1683" i="1"/>
  <c r="A1684" i="1"/>
  <c r="B1684" i="1"/>
  <c r="A1685" i="1"/>
  <c r="B1685" i="1"/>
  <c r="A1686" i="1"/>
  <c r="B1686" i="1"/>
  <c r="A1687" i="1"/>
  <c r="B1687" i="1"/>
  <c r="A1688" i="1"/>
  <c r="B1688" i="1"/>
  <c r="A1689" i="1"/>
  <c r="B1689" i="1"/>
  <c r="A1690" i="1"/>
  <c r="B1690" i="1"/>
  <c r="A1691" i="1"/>
  <c r="B1691" i="1"/>
  <c r="A1692" i="1"/>
  <c r="B1692" i="1"/>
  <c r="A1693" i="1"/>
  <c r="B1693" i="1"/>
  <c r="A1694" i="1"/>
  <c r="B1694" i="1"/>
  <c r="A1695" i="1"/>
  <c r="B1695" i="1"/>
  <c r="A1696" i="1"/>
  <c r="B1696" i="1"/>
  <c r="A1697" i="1"/>
  <c r="B1697" i="1"/>
  <c r="A1698" i="1"/>
  <c r="B1698" i="1"/>
  <c r="A1699" i="1"/>
  <c r="B1699" i="1"/>
  <c r="A1700" i="1"/>
  <c r="B1700" i="1"/>
  <c r="A1701" i="1"/>
  <c r="B1701" i="1"/>
  <c r="A1702" i="1"/>
  <c r="B1702" i="1"/>
  <c r="A1703" i="1"/>
  <c r="B1703" i="1"/>
  <c r="A1704" i="1"/>
  <c r="B1704" i="1"/>
  <c r="A1705" i="1"/>
  <c r="B1705" i="1"/>
  <c r="A1706" i="1"/>
  <c r="B1706" i="1"/>
  <c r="A1707" i="1"/>
  <c r="B1707" i="1"/>
  <c r="A1708" i="1"/>
  <c r="B1708" i="1"/>
  <c r="A1709" i="1"/>
  <c r="B1709" i="1"/>
  <c r="A1710" i="1"/>
  <c r="B1710" i="1"/>
  <c r="A1711" i="1"/>
  <c r="B1711" i="1"/>
  <c r="A1712" i="1"/>
  <c r="B1712" i="1"/>
  <c r="A1713" i="1"/>
  <c r="B1713" i="1"/>
  <c r="A1714" i="1"/>
  <c r="B1714" i="1"/>
  <c r="A1715" i="1"/>
  <c r="B1715" i="1"/>
  <c r="A1716" i="1"/>
  <c r="B1716" i="1"/>
  <c r="A1717" i="1"/>
  <c r="B1717" i="1"/>
  <c r="A1718" i="1"/>
  <c r="B1718" i="1"/>
  <c r="A1719" i="1"/>
  <c r="B1719" i="1"/>
  <c r="A1720" i="1"/>
  <c r="B1720" i="1"/>
  <c r="A1721" i="1"/>
  <c r="B1721" i="1"/>
  <c r="A1722" i="1"/>
  <c r="B1722" i="1"/>
  <c r="A1723" i="1"/>
  <c r="B1723" i="1"/>
  <c r="A1724" i="1"/>
  <c r="B1724" i="1"/>
  <c r="A1725" i="1"/>
  <c r="B1725" i="1"/>
  <c r="A1726" i="1"/>
  <c r="B1726" i="1"/>
  <c r="A1727" i="1"/>
  <c r="B1727" i="1"/>
  <c r="A1728" i="1"/>
  <c r="B1728" i="1"/>
  <c r="A1729" i="1"/>
  <c r="B1729" i="1"/>
  <c r="A1730" i="1"/>
  <c r="B1730" i="1"/>
  <c r="A1731" i="1"/>
  <c r="B1731" i="1"/>
  <c r="A1732" i="1"/>
  <c r="B1732" i="1"/>
  <c r="A1733" i="1"/>
  <c r="B1733" i="1"/>
  <c r="A1734" i="1"/>
  <c r="B1734" i="1"/>
  <c r="A1735" i="1"/>
  <c r="B1735" i="1"/>
  <c r="A1736" i="1"/>
  <c r="B1736" i="1"/>
  <c r="A1737" i="1"/>
  <c r="B1737" i="1"/>
  <c r="A1738" i="1"/>
  <c r="B1738" i="1"/>
  <c r="A1739" i="1"/>
  <c r="B1739" i="1"/>
  <c r="A1740" i="1"/>
  <c r="B1740" i="1"/>
  <c r="A1741" i="1"/>
  <c r="B1741" i="1"/>
  <c r="A1742" i="1"/>
  <c r="B1742" i="1"/>
  <c r="A1743" i="1"/>
  <c r="B1743" i="1"/>
  <c r="A1744" i="1"/>
  <c r="B1744" i="1"/>
  <c r="A1745" i="1"/>
  <c r="B1745" i="1"/>
  <c r="A1746" i="1"/>
  <c r="B1746" i="1"/>
  <c r="A1747" i="1"/>
  <c r="B1747" i="1"/>
  <c r="A1748" i="1"/>
  <c r="B1748" i="1"/>
  <c r="A1749" i="1"/>
  <c r="B1749" i="1"/>
  <c r="A1750" i="1"/>
  <c r="B1750" i="1"/>
  <c r="A1751" i="1"/>
  <c r="B1751" i="1"/>
  <c r="A1752" i="1"/>
  <c r="B1752" i="1"/>
  <c r="A1753" i="1"/>
  <c r="B1753" i="1"/>
  <c r="A1754" i="1"/>
  <c r="B1754" i="1"/>
  <c r="A1755" i="1"/>
  <c r="B1755" i="1"/>
  <c r="A1756" i="1"/>
  <c r="B1756" i="1"/>
  <c r="A1757" i="1"/>
  <c r="B1757" i="1"/>
  <c r="A1758" i="1"/>
  <c r="B1758" i="1"/>
  <c r="A1759" i="1"/>
  <c r="B1759" i="1"/>
  <c r="A1760" i="1"/>
  <c r="B1760" i="1"/>
  <c r="A1761" i="1"/>
  <c r="B1761" i="1"/>
  <c r="A1762" i="1"/>
  <c r="B1762" i="1"/>
  <c r="A1763" i="1"/>
  <c r="B1763" i="1"/>
  <c r="A1764" i="1"/>
  <c r="B1764" i="1"/>
  <c r="A1765" i="1"/>
  <c r="B1765" i="1"/>
  <c r="A1766" i="1"/>
  <c r="B1766" i="1"/>
  <c r="A1767" i="1"/>
  <c r="B1767" i="1"/>
  <c r="A1768" i="1"/>
  <c r="B1768" i="1"/>
  <c r="A1769" i="1"/>
  <c r="B1769" i="1"/>
  <c r="A1770" i="1"/>
  <c r="B1770" i="1"/>
  <c r="A1771" i="1"/>
  <c r="B1771" i="1"/>
  <c r="A1772" i="1"/>
  <c r="B1772" i="1"/>
  <c r="A1773" i="1"/>
  <c r="B1773" i="1"/>
  <c r="A1774" i="1"/>
  <c r="B1774" i="1"/>
  <c r="A1775" i="1"/>
  <c r="B1775" i="1"/>
  <c r="A1776" i="1"/>
  <c r="B1776" i="1"/>
  <c r="A1777" i="1"/>
  <c r="B1777" i="1"/>
  <c r="A1778" i="1"/>
  <c r="B1778" i="1"/>
  <c r="A1779" i="1"/>
  <c r="B1779" i="1"/>
  <c r="A1780" i="1"/>
  <c r="B1780" i="1"/>
  <c r="A1781" i="1"/>
  <c r="B1781" i="1"/>
  <c r="A1782" i="1"/>
  <c r="B1782" i="1"/>
  <c r="A1783" i="1"/>
  <c r="B1783" i="1"/>
  <c r="A1784" i="1"/>
  <c r="B1784" i="1"/>
  <c r="A1785" i="1"/>
  <c r="B1785" i="1"/>
  <c r="A1786" i="1"/>
  <c r="B1786" i="1"/>
  <c r="A1787" i="1"/>
  <c r="B1787" i="1"/>
  <c r="A1788" i="1"/>
  <c r="B1788" i="1"/>
  <c r="A1789" i="1"/>
  <c r="B1789" i="1"/>
  <c r="A1790" i="1"/>
  <c r="B1790" i="1"/>
  <c r="A1791" i="1"/>
  <c r="B1791" i="1"/>
  <c r="A1792" i="1"/>
  <c r="B1792" i="1"/>
  <c r="A1793" i="1"/>
  <c r="B1793" i="1"/>
  <c r="A1794" i="1"/>
  <c r="B1794" i="1"/>
  <c r="A1795" i="1"/>
  <c r="B1795" i="1"/>
  <c r="A1796" i="1"/>
  <c r="B1796" i="1"/>
  <c r="A1797" i="1"/>
  <c r="B1797" i="1"/>
  <c r="A1798" i="1"/>
  <c r="B1798" i="1"/>
  <c r="A1799" i="1"/>
  <c r="B1799" i="1"/>
  <c r="A1800" i="1"/>
  <c r="B1800" i="1"/>
  <c r="A1801" i="1"/>
  <c r="B1801" i="1"/>
  <c r="A1802" i="1"/>
  <c r="B1802" i="1"/>
  <c r="A1803" i="1"/>
  <c r="B1803" i="1"/>
  <c r="A1804" i="1"/>
  <c r="B1804" i="1"/>
  <c r="A1805" i="1"/>
  <c r="B1805" i="1"/>
  <c r="A1806" i="1"/>
  <c r="B1806" i="1"/>
  <c r="A1807" i="1"/>
  <c r="B1807" i="1"/>
  <c r="A1808" i="1"/>
  <c r="B1808" i="1"/>
  <c r="A1809" i="1"/>
  <c r="B1809" i="1"/>
  <c r="A1810" i="1"/>
  <c r="B1810" i="1"/>
  <c r="A1811" i="1"/>
  <c r="B1811" i="1"/>
  <c r="A1812" i="1"/>
  <c r="B1812" i="1"/>
  <c r="A1813" i="1"/>
  <c r="B1813" i="1"/>
  <c r="A1814" i="1"/>
  <c r="B1814" i="1"/>
  <c r="A1815" i="1"/>
  <c r="B1815" i="1"/>
  <c r="A1816" i="1"/>
  <c r="B1816" i="1"/>
  <c r="A1817" i="1"/>
  <c r="B1817" i="1"/>
  <c r="A1818" i="1"/>
  <c r="B1818" i="1"/>
  <c r="A1819" i="1"/>
  <c r="B1819" i="1"/>
  <c r="A1820" i="1"/>
  <c r="B1820" i="1"/>
  <c r="A1821" i="1"/>
  <c r="B1821" i="1"/>
  <c r="A1822" i="1"/>
  <c r="B1822" i="1"/>
  <c r="A1823" i="1"/>
  <c r="B1823" i="1"/>
  <c r="A1824" i="1"/>
  <c r="B1824" i="1"/>
  <c r="A1825" i="1"/>
  <c r="B1825" i="1"/>
  <c r="A1826" i="1"/>
  <c r="B1826" i="1"/>
  <c r="A1827" i="1"/>
  <c r="B1827" i="1"/>
  <c r="A1828" i="1"/>
  <c r="B1828" i="1"/>
  <c r="A1829" i="1"/>
  <c r="B1829" i="1"/>
  <c r="A1830" i="1"/>
  <c r="B1830" i="1"/>
  <c r="A1831" i="1"/>
  <c r="B1831" i="1"/>
  <c r="A1832" i="1"/>
  <c r="B1832" i="1"/>
  <c r="A1833" i="1"/>
  <c r="B1833" i="1"/>
  <c r="A1834" i="1"/>
  <c r="B1834" i="1"/>
  <c r="A1835" i="1"/>
  <c r="B1835" i="1"/>
  <c r="A1836" i="1"/>
  <c r="B1836" i="1"/>
  <c r="A1837" i="1"/>
  <c r="B1837" i="1"/>
  <c r="A1838" i="1"/>
  <c r="B1838" i="1"/>
  <c r="A1839" i="1"/>
  <c r="B1839" i="1"/>
  <c r="A1840" i="1"/>
  <c r="B1840" i="1"/>
  <c r="A1841" i="1"/>
  <c r="B1841" i="1"/>
  <c r="A1842" i="1"/>
  <c r="B1842" i="1"/>
  <c r="A1843" i="1"/>
  <c r="B1843" i="1"/>
  <c r="A1844" i="1"/>
  <c r="B1844" i="1"/>
  <c r="A1845" i="1"/>
  <c r="B1845" i="1"/>
  <c r="A1846" i="1"/>
  <c r="B1846" i="1"/>
  <c r="A1847" i="1"/>
  <c r="B1847" i="1"/>
  <c r="A1848" i="1"/>
  <c r="B1848" i="1"/>
  <c r="A1849" i="1"/>
  <c r="B1849" i="1"/>
  <c r="A1850" i="1"/>
  <c r="B1850" i="1"/>
  <c r="A1851" i="1"/>
  <c r="B1851" i="1"/>
  <c r="A1852" i="1"/>
  <c r="B1852" i="1"/>
  <c r="A1853" i="1"/>
  <c r="B1853" i="1"/>
  <c r="A1854" i="1"/>
  <c r="B1854" i="1"/>
  <c r="A1855" i="1"/>
  <c r="B1855" i="1"/>
  <c r="A1856" i="1"/>
  <c r="B1856" i="1"/>
  <c r="A1857" i="1"/>
  <c r="B1857" i="1"/>
  <c r="A1858" i="1"/>
  <c r="B1858" i="1"/>
  <c r="A1859" i="1"/>
  <c r="B1859" i="1"/>
  <c r="A1860" i="1"/>
  <c r="B1860" i="1"/>
  <c r="A1861" i="1"/>
  <c r="B1861" i="1"/>
  <c r="A1862" i="1"/>
  <c r="B1862" i="1"/>
  <c r="A1863" i="1"/>
  <c r="B1863" i="1"/>
  <c r="A1864" i="1"/>
  <c r="B1864" i="1"/>
  <c r="A1865" i="1"/>
  <c r="B1865" i="1"/>
  <c r="A1866" i="1"/>
  <c r="B1866" i="1"/>
  <c r="A1867" i="1"/>
  <c r="B1867" i="1"/>
  <c r="A1868" i="1"/>
  <c r="B1868" i="1"/>
  <c r="A1869" i="1"/>
  <c r="B1869" i="1"/>
  <c r="A1870" i="1"/>
  <c r="B1870" i="1"/>
  <c r="A1871" i="1"/>
  <c r="B1871" i="1"/>
  <c r="A1872" i="1"/>
  <c r="B1872" i="1"/>
  <c r="A1873" i="1"/>
  <c r="B1873" i="1"/>
  <c r="A1874" i="1"/>
  <c r="B1874" i="1"/>
  <c r="A1875" i="1"/>
  <c r="B1875" i="1"/>
  <c r="A1876" i="1"/>
  <c r="B1876" i="1"/>
  <c r="A1877" i="1"/>
  <c r="B1877" i="1"/>
  <c r="A1878" i="1"/>
  <c r="B1878" i="1"/>
  <c r="A1879" i="1"/>
  <c r="B1879" i="1"/>
  <c r="A1880" i="1"/>
  <c r="B1880" i="1"/>
  <c r="A1881" i="1"/>
  <c r="B1881" i="1"/>
  <c r="A1882" i="1"/>
  <c r="B1882" i="1"/>
  <c r="A1883" i="1"/>
  <c r="B1883" i="1"/>
  <c r="A1884" i="1"/>
  <c r="B1884" i="1"/>
  <c r="A1885" i="1"/>
  <c r="B1885" i="1"/>
  <c r="A1886" i="1"/>
  <c r="B1886" i="1"/>
  <c r="A1887" i="1"/>
  <c r="B1887" i="1"/>
  <c r="A1888" i="1"/>
  <c r="B1888" i="1"/>
  <c r="A1889" i="1"/>
  <c r="B1889" i="1"/>
  <c r="A1890" i="1"/>
  <c r="B1890" i="1"/>
  <c r="A1891" i="1"/>
  <c r="B1891" i="1"/>
  <c r="A1892" i="1"/>
  <c r="B1892" i="1"/>
  <c r="A1893" i="1"/>
  <c r="B1893" i="1"/>
  <c r="A1894" i="1"/>
  <c r="B1894" i="1"/>
  <c r="A1895" i="1"/>
  <c r="B1895" i="1"/>
  <c r="A1896" i="1"/>
  <c r="B1896" i="1"/>
  <c r="A1897" i="1"/>
  <c r="B1897" i="1"/>
  <c r="A1898" i="1"/>
  <c r="B1898" i="1"/>
  <c r="A1899" i="1"/>
  <c r="B1899" i="1"/>
  <c r="A1900" i="1"/>
  <c r="B1900" i="1"/>
  <c r="A1901" i="1"/>
  <c r="B1901" i="1"/>
  <c r="A1902" i="1"/>
  <c r="B1902" i="1"/>
  <c r="A1903" i="1"/>
  <c r="B1903" i="1"/>
  <c r="A1904" i="1"/>
  <c r="B1904" i="1"/>
  <c r="A1905" i="1"/>
  <c r="B1905" i="1"/>
  <c r="A1906" i="1"/>
  <c r="B1906" i="1"/>
  <c r="A1907" i="1"/>
  <c r="B1907" i="1"/>
  <c r="A1908" i="1"/>
  <c r="B1908" i="1"/>
  <c r="A1909" i="1"/>
  <c r="B1909" i="1"/>
  <c r="A1910" i="1"/>
  <c r="B1910" i="1"/>
  <c r="A1911" i="1"/>
  <c r="B1911" i="1"/>
  <c r="A1912" i="1"/>
  <c r="B1912" i="1"/>
  <c r="A1913" i="1"/>
  <c r="B1913" i="1"/>
  <c r="A1914" i="1"/>
  <c r="B1914" i="1"/>
  <c r="A1915" i="1"/>
  <c r="B1915" i="1"/>
  <c r="A1916" i="1"/>
  <c r="B1916" i="1"/>
  <c r="A1917" i="1"/>
  <c r="B1917" i="1"/>
  <c r="A1918" i="1"/>
  <c r="B1918" i="1"/>
  <c r="A1919" i="1"/>
  <c r="B1919" i="1"/>
  <c r="A1920" i="1"/>
  <c r="B1920" i="1"/>
  <c r="A1921" i="1"/>
  <c r="B1921" i="1"/>
  <c r="A1922" i="1"/>
  <c r="B1922" i="1"/>
  <c r="A1923" i="1"/>
  <c r="B1923" i="1"/>
  <c r="A1924" i="1"/>
  <c r="B1924" i="1"/>
  <c r="A1925" i="1"/>
  <c r="B1925" i="1"/>
  <c r="A1926" i="1"/>
  <c r="B1926" i="1"/>
  <c r="A1927" i="1"/>
  <c r="B1927" i="1"/>
  <c r="A1928" i="1"/>
  <c r="B1928" i="1"/>
  <c r="A1929" i="1"/>
  <c r="B1929" i="1"/>
  <c r="A1930" i="1"/>
  <c r="B1930" i="1"/>
  <c r="A1931" i="1"/>
  <c r="B1931" i="1"/>
  <c r="A1932" i="1"/>
  <c r="B1932" i="1"/>
  <c r="A1933" i="1"/>
  <c r="B1933" i="1"/>
  <c r="A1934" i="1"/>
  <c r="B1934" i="1"/>
  <c r="A1935" i="1"/>
  <c r="B1935" i="1"/>
  <c r="A1936" i="1"/>
  <c r="B1936" i="1"/>
  <c r="A1937" i="1"/>
  <c r="B1937" i="1"/>
  <c r="A1938" i="1"/>
  <c r="B1938" i="1"/>
  <c r="A1939" i="1"/>
  <c r="B1939" i="1"/>
  <c r="A1940" i="1"/>
  <c r="B1940" i="1"/>
  <c r="A1941" i="1"/>
  <c r="B1941" i="1"/>
  <c r="A1942" i="1"/>
  <c r="B1942" i="1"/>
  <c r="A1943" i="1"/>
  <c r="B1943" i="1"/>
  <c r="A1944" i="1"/>
  <c r="B1944" i="1"/>
  <c r="A1945" i="1"/>
  <c r="B1945" i="1"/>
  <c r="A1946" i="1"/>
  <c r="B1946" i="1"/>
  <c r="A1947" i="1"/>
  <c r="B1947" i="1"/>
  <c r="A1948" i="1"/>
  <c r="B1948" i="1"/>
  <c r="A1949" i="1"/>
  <c r="B1949" i="1"/>
  <c r="A1950" i="1"/>
  <c r="B1950" i="1"/>
  <c r="A1951" i="1"/>
  <c r="B1951" i="1"/>
  <c r="A1952" i="1"/>
  <c r="B1952" i="1"/>
  <c r="A1953" i="1"/>
  <c r="B1953" i="1"/>
  <c r="A1954" i="1"/>
  <c r="B1954" i="1"/>
  <c r="A1955" i="1"/>
  <c r="B1955" i="1"/>
  <c r="A1956" i="1"/>
  <c r="B1956" i="1"/>
  <c r="A1957" i="1"/>
  <c r="B1957" i="1"/>
  <c r="A1958" i="1"/>
  <c r="B1958" i="1"/>
  <c r="A1959" i="1"/>
  <c r="B1959" i="1"/>
  <c r="A1960" i="1"/>
  <c r="B1960" i="1"/>
  <c r="A1961" i="1"/>
  <c r="B1961" i="1"/>
  <c r="A1962" i="1"/>
  <c r="B1962" i="1"/>
  <c r="A1963" i="1"/>
  <c r="B1963" i="1"/>
  <c r="A1964" i="1"/>
  <c r="B1964" i="1"/>
  <c r="A1965" i="1"/>
  <c r="B1965" i="1"/>
  <c r="A1966" i="1"/>
  <c r="B1966" i="1"/>
  <c r="A1967" i="1"/>
  <c r="B1967" i="1"/>
  <c r="A1968" i="1"/>
  <c r="B1968" i="1"/>
  <c r="A1969" i="1"/>
  <c r="B1969" i="1"/>
  <c r="A1970" i="1"/>
  <c r="B1970" i="1"/>
  <c r="A1971" i="1"/>
  <c r="B1971" i="1"/>
  <c r="A1972" i="1"/>
  <c r="B1972" i="1"/>
  <c r="A1973" i="1"/>
  <c r="B1973" i="1"/>
  <c r="A1974" i="1"/>
  <c r="B1974" i="1"/>
  <c r="A1975" i="1"/>
  <c r="B1975" i="1"/>
  <c r="A1976" i="1"/>
  <c r="B1976" i="1"/>
  <c r="A1977" i="1"/>
  <c r="B1977" i="1"/>
  <c r="A1978" i="1"/>
  <c r="B1978" i="1"/>
  <c r="A1979" i="1"/>
  <c r="B1979" i="1"/>
  <c r="A1980" i="1"/>
  <c r="B1980" i="1"/>
  <c r="A1981" i="1"/>
  <c r="B1981" i="1"/>
  <c r="A1982" i="1"/>
  <c r="B1982" i="1"/>
  <c r="A1983" i="1"/>
  <c r="B1983" i="1"/>
  <c r="A1984" i="1"/>
  <c r="B1984" i="1"/>
  <c r="A1985" i="1"/>
  <c r="B1985" i="1"/>
  <c r="A1986" i="1"/>
  <c r="B1986" i="1"/>
  <c r="A1987" i="1"/>
  <c r="B1987" i="1"/>
  <c r="A1988" i="1"/>
  <c r="B1988" i="1"/>
  <c r="A1989" i="1"/>
  <c r="B1989" i="1"/>
  <c r="A1990" i="1"/>
  <c r="B1990" i="1"/>
  <c r="A1991" i="1"/>
  <c r="B1991" i="1"/>
  <c r="A1992" i="1"/>
  <c r="B1992" i="1"/>
  <c r="A1993" i="1"/>
  <c r="B1993" i="1"/>
  <c r="A1994" i="1"/>
  <c r="B1994" i="1"/>
  <c r="A1995" i="1"/>
  <c r="B1995" i="1"/>
  <c r="A1996" i="1"/>
  <c r="B1996" i="1"/>
  <c r="A1997" i="1"/>
  <c r="B1997" i="1"/>
  <c r="A1998" i="1"/>
  <c r="B1998" i="1"/>
  <c r="A1999" i="1"/>
  <c r="B1999" i="1"/>
  <c r="A2000" i="1"/>
  <c r="B2000" i="1"/>
  <c r="A2001" i="1"/>
  <c r="B2001" i="1"/>
  <c r="A2002" i="1"/>
  <c r="B2002" i="1"/>
  <c r="A2003" i="1"/>
  <c r="B2003" i="1"/>
  <c r="A2004" i="1"/>
  <c r="B2004" i="1"/>
  <c r="A2005" i="1"/>
  <c r="B2005" i="1"/>
  <c r="A2006" i="1"/>
  <c r="B2006" i="1"/>
  <c r="A2007" i="1"/>
  <c r="B2007" i="1"/>
  <c r="A2008" i="1"/>
  <c r="B2008" i="1"/>
  <c r="A2009" i="1"/>
  <c r="B2009" i="1"/>
  <c r="A2010" i="1"/>
  <c r="B2010" i="1"/>
  <c r="A2011" i="1"/>
  <c r="B2011" i="1"/>
  <c r="A2012" i="1"/>
  <c r="B2012" i="1"/>
  <c r="A2013" i="1"/>
  <c r="B2013" i="1"/>
  <c r="A2014" i="1"/>
  <c r="B2014" i="1"/>
  <c r="A2015" i="1"/>
  <c r="B2015" i="1"/>
  <c r="A2016" i="1"/>
  <c r="B2016" i="1"/>
  <c r="A2017" i="1"/>
  <c r="B2017" i="1"/>
  <c r="A2018" i="1"/>
  <c r="B2018" i="1"/>
  <c r="A2019" i="1"/>
  <c r="B2019" i="1"/>
  <c r="A2020" i="1"/>
  <c r="B2020" i="1"/>
  <c r="A2021" i="1"/>
  <c r="B2021" i="1"/>
  <c r="A2022" i="1"/>
  <c r="B2022" i="1"/>
  <c r="A2023" i="1"/>
  <c r="B2023" i="1"/>
  <c r="A2024" i="1"/>
  <c r="B2024" i="1"/>
  <c r="A2025" i="1"/>
  <c r="B2025" i="1"/>
  <c r="A2026" i="1"/>
  <c r="B2026" i="1"/>
  <c r="A2027" i="1"/>
  <c r="B2027" i="1"/>
  <c r="A2028" i="1"/>
  <c r="B2028" i="1"/>
  <c r="A2029" i="1"/>
  <c r="B2029" i="1"/>
  <c r="A2030" i="1"/>
  <c r="B2030" i="1"/>
  <c r="A2031" i="1"/>
  <c r="B2031" i="1"/>
  <c r="A2032" i="1"/>
  <c r="B2032" i="1"/>
  <c r="A2033" i="1"/>
  <c r="B2033" i="1"/>
  <c r="A2034" i="1"/>
  <c r="B2034" i="1"/>
  <c r="A2035" i="1"/>
  <c r="B2035" i="1"/>
  <c r="A2036" i="1"/>
  <c r="B2036" i="1"/>
  <c r="A2037" i="1"/>
  <c r="B2037" i="1"/>
  <c r="A2038" i="1"/>
  <c r="B2038" i="1"/>
  <c r="A2039" i="1"/>
  <c r="B2039" i="1"/>
  <c r="A2040" i="1"/>
  <c r="B2040" i="1"/>
  <c r="A2041" i="1"/>
  <c r="B2041" i="1"/>
  <c r="A2042" i="1"/>
  <c r="B2042" i="1"/>
  <c r="A2043" i="1"/>
  <c r="B2043" i="1"/>
  <c r="A2044" i="1"/>
  <c r="B2044" i="1"/>
  <c r="A2045" i="1"/>
  <c r="B2045" i="1"/>
  <c r="A2046" i="1"/>
  <c r="B2046" i="1"/>
  <c r="A2047" i="1"/>
  <c r="B2047" i="1"/>
  <c r="A2048" i="1"/>
  <c r="B2048" i="1"/>
  <c r="A2049" i="1"/>
  <c r="B2049" i="1"/>
  <c r="A2050" i="1"/>
  <c r="B2050" i="1"/>
  <c r="A2051" i="1"/>
  <c r="B2051" i="1"/>
  <c r="A2052" i="1"/>
  <c r="B2052" i="1"/>
  <c r="A2053" i="1"/>
  <c r="B2053" i="1"/>
  <c r="A2054" i="1"/>
  <c r="B2054" i="1"/>
  <c r="A2055" i="1"/>
  <c r="B2055" i="1"/>
  <c r="A2056" i="1"/>
  <c r="B2056" i="1"/>
  <c r="A2057" i="1"/>
  <c r="B2057" i="1"/>
  <c r="A2058" i="1"/>
  <c r="B2058" i="1"/>
  <c r="A2059" i="1"/>
  <c r="B2059" i="1"/>
  <c r="A2060" i="1"/>
  <c r="B2060" i="1"/>
  <c r="A2061" i="1"/>
  <c r="B2061" i="1"/>
  <c r="A2062" i="1"/>
  <c r="B2062" i="1"/>
  <c r="A2063" i="1"/>
  <c r="B2063" i="1"/>
  <c r="A2064" i="1"/>
  <c r="B2064" i="1"/>
  <c r="A2065" i="1"/>
  <c r="B2065" i="1"/>
  <c r="A2066" i="1"/>
  <c r="B2066" i="1"/>
  <c r="A2067" i="1"/>
  <c r="B2067" i="1"/>
  <c r="A2068" i="1"/>
  <c r="B2068" i="1"/>
  <c r="A2069" i="1"/>
  <c r="B2069" i="1"/>
  <c r="A2070" i="1"/>
  <c r="B2070" i="1"/>
  <c r="A2071" i="1"/>
  <c r="B2071" i="1"/>
  <c r="A2072" i="1"/>
  <c r="B2072" i="1"/>
  <c r="A2073" i="1"/>
  <c r="B2073" i="1"/>
  <c r="A2074" i="1"/>
  <c r="B2074" i="1"/>
  <c r="A2075" i="1"/>
  <c r="B2075" i="1"/>
  <c r="A2076" i="1"/>
  <c r="B2076" i="1"/>
  <c r="A2077" i="1"/>
  <c r="B2077" i="1"/>
  <c r="A2078" i="1"/>
  <c r="B2078" i="1"/>
  <c r="A2079" i="1"/>
  <c r="B2079" i="1"/>
  <c r="A2080" i="1"/>
  <c r="B2080" i="1"/>
  <c r="A2081" i="1"/>
  <c r="B2081" i="1"/>
  <c r="A2082" i="1"/>
  <c r="B2082" i="1"/>
  <c r="A2083" i="1"/>
  <c r="B2083" i="1"/>
  <c r="A2084" i="1"/>
  <c r="B2084" i="1"/>
  <c r="A2085" i="1"/>
  <c r="B2085" i="1"/>
  <c r="A2086" i="1"/>
  <c r="B2086" i="1"/>
  <c r="A2087" i="1"/>
  <c r="B2087" i="1"/>
  <c r="A2088" i="1"/>
  <c r="B2088" i="1"/>
  <c r="A2089" i="1"/>
  <c r="B2089" i="1"/>
  <c r="A2090" i="1"/>
  <c r="B2090" i="1"/>
  <c r="A2091" i="1"/>
  <c r="B2091" i="1"/>
  <c r="A2092" i="1"/>
  <c r="B2092" i="1"/>
  <c r="A2093" i="1"/>
  <c r="B2093" i="1"/>
  <c r="A2094" i="1"/>
  <c r="B2094" i="1"/>
  <c r="A2095" i="1"/>
  <c r="B2095" i="1"/>
  <c r="A2096" i="1"/>
  <c r="B2096" i="1"/>
  <c r="A2097" i="1"/>
  <c r="B2097" i="1"/>
  <c r="A2098" i="1"/>
  <c r="B2098" i="1"/>
  <c r="A2099" i="1"/>
  <c r="B2099" i="1"/>
  <c r="A2100" i="1"/>
  <c r="B2100" i="1"/>
  <c r="A2101" i="1"/>
  <c r="B2101" i="1"/>
  <c r="A2102" i="1"/>
  <c r="B2102" i="1"/>
  <c r="A2103" i="1"/>
  <c r="B2103" i="1"/>
  <c r="A2104" i="1"/>
  <c r="B2104" i="1"/>
  <c r="A2105" i="1"/>
  <c r="B2105" i="1"/>
  <c r="A2106" i="1"/>
  <c r="B2106" i="1"/>
  <c r="A2107" i="1"/>
  <c r="B2107" i="1"/>
  <c r="A2108" i="1"/>
  <c r="B2108" i="1"/>
  <c r="A2109" i="1"/>
  <c r="B2109" i="1"/>
  <c r="A2110" i="1"/>
  <c r="B2110" i="1"/>
  <c r="A2111" i="1"/>
  <c r="B2111" i="1"/>
  <c r="A2112" i="1"/>
  <c r="B2112" i="1"/>
  <c r="A2113" i="1"/>
  <c r="B2113" i="1"/>
  <c r="A2114" i="1"/>
  <c r="B2114" i="1"/>
  <c r="A2115" i="1"/>
  <c r="B2115" i="1"/>
  <c r="A2116" i="1"/>
  <c r="B2116" i="1"/>
  <c r="A2117" i="1"/>
  <c r="B2117" i="1"/>
  <c r="A2118" i="1"/>
  <c r="B2118" i="1"/>
  <c r="A2119" i="1"/>
  <c r="B2119" i="1"/>
  <c r="A2120" i="1"/>
  <c r="B2120" i="1"/>
  <c r="A2121" i="1"/>
  <c r="B2121" i="1"/>
  <c r="A2122" i="1"/>
  <c r="B2122" i="1"/>
  <c r="A2123" i="1"/>
  <c r="B2123" i="1"/>
  <c r="A2124" i="1"/>
  <c r="B2124" i="1"/>
  <c r="A2125" i="1"/>
  <c r="B2125" i="1"/>
  <c r="A2126" i="1"/>
  <c r="B2126" i="1"/>
  <c r="A2127" i="1"/>
  <c r="B2127" i="1"/>
  <c r="A2128" i="1"/>
  <c r="B2128" i="1"/>
  <c r="A2129" i="1"/>
  <c r="B2129" i="1"/>
  <c r="A2130" i="1"/>
  <c r="B2130" i="1"/>
  <c r="A2131" i="1"/>
  <c r="B2131" i="1"/>
  <c r="A2132" i="1"/>
  <c r="B2132" i="1"/>
  <c r="A2133" i="1"/>
  <c r="B2133" i="1"/>
  <c r="A2134" i="1"/>
  <c r="B2134" i="1"/>
  <c r="A2135" i="1"/>
  <c r="B2135" i="1"/>
  <c r="A2136" i="1"/>
  <c r="B2136" i="1"/>
  <c r="A2137" i="1"/>
  <c r="B2137" i="1"/>
  <c r="A2138" i="1"/>
  <c r="B2138" i="1"/>
  <c r="A2139" i="1"/>
  <c r="B2139" i="1"/>
  <c r="A2140" i="1"/>
  <c r="B2140" i="1"/>
  <c r="A2141" i="1"/>
  <c r="B2141" i="1"/>
  <c r="A2142" i="1"/>
  <c r="B2142" i="1"/>
  <c r="A2143" i="1"/>
  <c r="B2143" i="1"/>
  <c r="A2144" i="1"/>
  <c r="B2144" i="1"/>
  <c r="A2145" i="1"/>
  <c r="B2145" i="1"/>
  <c r="A2146" i="1"/>
  <c r="B2146" i="1"/>
  <c r="A2147" i="1"/>
  <c r="B2147" i="1"/>
  <c r="A2148" i="1"/>
  <c r="B2148" i="1"/>
  <c r="A2149" i="1"/>
  <c r="B2149" i="1"/>
  <c r="A2150" i="1"/>
  <c r="B2150" i="1"/>
  <c r="A2151" i="1"/>
  <c r="B2151" i="1"/>
  <c r="A2152" i="1"/>
  <c r="B2152" i="1"/>
  <c r="A2153" i="1"/>
  <c r="B2153" i="1"/>
  <c r="A2154" i="1"/>
  <c r="B2154" i="1"/>
  <c r="A2155" i="1"/>
  <c r="B2155" i="1"/>
  <c r="A2156" i="1"/>
  <c r="B2156" i="1"/>
  <c r="A2157" i="1"/>
  <c r="B2157" i="1"/>
  <c r="A2158" i="1"/>
  <c r="B2158" i="1"/>
  <c r="A2159" i="1"/>
  <c r="B2159" i="1"/>
  <c r="A2160" i="1"/>
  <c r="B2160" i="1"/>
  <c r="A2161" i="1"/>
  <c r="B2161" i="1"/>
  <c r="A2162" i="1"/>
  <c r="B2162" i="1"/>
  <c r="A2163" i="1"/>
  <c r="B2163" i="1"/>
  <c r="A2164" i="1"/>
  <c r="B2164" i="1"/>
  <c r="A2165" i="1"/>
  <c r="B2165" i="1"/>
  <c r="A2166" i="1"/>
  <c r="B2166" i="1"/>
  <c r="A2167" i="1"/>
  <c r="B2167" i="1"/>
  <c r="A2168" i="1"/>
  <c r="B2168" i="1"/>
  <c r="A2169" i="1"/>
  <c r="B2169" i="1"/>
  <c r="A2170" i="1"/>
  <c r="B2170" i="1"/>
  <c r="A2171" i="1"/>
  <c r="B2171" i="1"/>
  <c r="A2172" i="1"/>
  <c r="B2172" i="1"/>
  <c r="A2173" i="1"/>
  <c r="B2173" i="1"/>
  <c r="A2174" i="1"/>
  <c r="B2174" i="1"/>
  <c r="A2175" i="1"/>
  <c r="B2175" i="1"/>
  <c r="A2176" i="1"/>
  <c r="B2176" i="1"/>
  <c r="A2177" i="1"/>
  <c r="B2177" i="1"/>
  <c r="A2178" i="1"/>
  <c r="B2178" i="1"/>
  <c r="A2179" i="1"/>
  <c r="B2179" i="1"/>
  <c r="A2180" i="1"/>
  <c r="B2180" i="1"/>
  <c r="A2181" i="1"/>
  <c r="B2181" i="1"/>
  <c r="A2182" i="1"/>
  <c r="B2182" i="1"/>
  <c r="A2183" i="1"/>
  <c r="B2183" i="1"/>
  <c r="A2184" i="1"/>
  <c r="B2184" i="1"/>
  <c r="A2185" i="1"/>
  <c r="B2185" i="1"/>
  <c r="A2186" i="1"/>
  <c r="B2186" i="1"/>
  <c r="A2187" i="1"/>
  <c r="B2187" i="1"/>
  <c r="A2188" i="1"/>
  <c r="B2188" i="1"/>
  <c r="A2189" i="1"/>
  <c r="B2189" i="1"/>
  <c r="A2190" i="1"/>
  <c r="B2190" i="1"/>
  <c r="A2191" i="1"/>
  <c r="B2191" i="1"/>
  <c r="A2192" i="1"/>
  <c r="B2192" i="1"/>
  <c r="A2193" i="1"/>
  <c r="B2193" i="1"/>
  <c r="A2194" i="1"/>
  <c r="B2194" i="1"/>
  <c r="A2195" i="1"/>
  <c r="B2195" i="1"/>
  <c r="A2196" i="1"/>
  <c r="B2196" i="1"/>
  <c r="A2197" i="1"/>
  <c r="B2197" i="1"/>
  <c r="A2198" i="1"/>
  <c r="B2198" i="1"/>
  <c r="A2199" i="1"/>
  <c r="B2199" i="1"/>
  <c r="A2200" i="1"/>
  <c r="B2200" i="1"/>
  <c r="A2201" i="1"/>
  <c r="B2201" i="1"/>
  <c r="A2202" i="1"/>
  <c r="B2202" i="1"/>
  <c r="A2203" i="1"/>
  <c r="B2203" i="1"/>
  <c r="A2204" i="1"/>
  <c r="B2204" i="1"/>
  <c r="A2205" i="1"/>
  <c r="B2205" i="1"/>
  <c r="A2206" i="1"/>
  <c r="B2206" i="1"/>
  <c r="A2207" i="1"/>
  <c r="B2207" i="1"/>
  <c r="A2208" i="1"/>
  <c r="B2208" i="1"/>
  <c r="A2209" i="1"/>
  <c r="B2209" i="1"/>
  <c r="A2210" i="1"/>
  <c r="B2210" i="1"/>
  <c r="A2211" i="1"/>
  <c r="B2211" i="1"/>
  <c r="A2212" i="1"/>
  <c r="B2212" i="1"/>
  <c r="A2213" i="1"/>
  <c r="B2213" i="1"/>
  <c r="A2214" i="1"/>
  <c r="B2214" i="1"/>
  <c r="A2215" i="1"/>
  <c r="B2215" i="1"/>
  <c r="A2216" i="1"/>
  <c r="B2216" i="1"/>
  <c r="A2217" i="1"/>
  <c r="B2217" i="1"/>
  <c r="A2218" i="1"/>
  <c r="B2218" i="1"/>
  <c r="A2219" i="1"/>
  <c r="B2219" i="1"/>
  <c r="A2220" i="1"/>
  <c r="B2220" i="1"/>
  <c r="A2221" i="1"/>
  <c r="B2221" i="1"/>
  <c r="A2222" i="1"/>
  <c r="B2222" i="1"/>
  <c r="A2223" i="1"/>
  <c r="B2223" i="1"/>
  <c r="A2224" i="1"/>
  <c r="B2224" i="1"/>
  <c r="A2225" i="1"/>
  <c r="B2225" i="1"/>
  <c r="A2226" i="1"/>
  <c r="B2226" i="1"/>
  <c r="A2227" i="1"/>
  <c r="B2227" i="1"/>
  <c r="A2228" i="1"/>
  <c r="B2228" i="1"/>
  <c r="A2229" i="1"/>
  <c r="B2229" i="1"/>
  <c r="A2230" i="1"/>
  <c r="B2230" i="1"/>
  <c r="A2231" i="1"/>
  <c r="B2231" i="1"/>
  <c r="A2232" i="1"/>
  <c r="B2232" i="1"/>
  <c r="A2233" i="1"/>
  <c r="B2233" i="1"/>
  <c r="A2234" i="1"/>
  <c r="B2234" i="1"/>
  <c r="A2235" i="1"/>
  <c r="B2235" i="1"/>
  <c r="A2236" i="1"/>
  <c r="B2236" i="1"/>
  <c r="A2237" i="1"/>
  <c r="B2237" i="1"/>
  <c r="A2238" i="1"/>
  <c r="B2238" i="1"/>
  <c r="A2239" i="1"/>
  <c r="B2239" i="1"/>
  <c r="A2240" i="1"/>
  <c r="B2240" i="1"/>
  <c r="A2241" i="1"/>
  <c r="B2241" i="1"/>
  <c r="A2242" i="1"/>
  <c r="B2242" i="1"/>
  <c r="A2243" i="1"/>
  <c r="B2243" i="1"/>
  <c r="A2244" i="1"/>
  <c r="B2244" i="1"/>
  <c r="A2245" i="1"/>
  <c r="B2245" i="1"/>
  <c r="A2246" i="1"/>
  <c r="B2246" i="1"/>
  <c r="A2247" i="1"/>
  <c r="B2247" i="1"/>
  <c r="A2248" i="1"/>
  <c r="B2248" i="1"/>
  <c r="A2249" i="1"/>
  <c r="B2249" i="1"/>
  <c r="A2250" i="1"/>
  <c r="B2250" i="1"/>
  <c r="A2251" i="1"/>
  <c r="B2251" i="1"/>
  <c r="A2252" i="1"/>
  <c r="B2252" i="1"/>
  <c r="A2253" i="1"/>
  <c r="B2253" i="1"/>
  <c r="A2254" i="1"/>
  <c r="B2254" i="1"/>
  <c r="A2255" i="1"/>
  <c r="B2255" i="1"/>
  <c r="A2256" i="1"/>
  <c r="B2256" i="1"/>
  <c r="A2257" i="1"/>
  <c r="B2257" i="1"/>
  <c r="A2258" i="1"/>
  <c r="B2258" i="1"/>
  <c r="A2259" i="1"/>
  <c r="B2259" i="1"/>
  <c r="A2260" i="1"/>
  <c r="B2260" i="1"/>
  <c r="A2261" i="1"/>
  <c r="B2261" i="1"/>
  <c r="A2262" i="1"/>
  <c r="B2262" i="1"/>
  <c r="A2263" i="1"/>
  <c r="B2263" i="1"/>
  <c r="A2264" i="1"/>
  <c r="B2264" i="1"/>
  <c r="A2265" i="1"/>
  <c r="B2265" i="1"/>
  <c r="A2266" i="1"/>
  <c r="B2266" i="1"/>
  <c r="A2267" i="1"/>
  <c r="B2267" i="1"/>
  <c r="A2268" i="1"/>
  <c r="B2268" i="1"/>
  <c r="A2269" i="1"/>
  <c r="B2269" i="1"/>
  <c r="A2270" i="1"/>
  <c r="B2270" i="1"/>
  <c r="A2271" i="1"/>
  <c r="B2271" i="1"/>
  <c r="A2272" i="1"/>
  <c r="B2272" i="1"/>
  <c r="A2273" i="1"/>
  <c r="B2273" i="1"/>
  <c r="A2274" i="1"/>
  <c r="B2274" i="1"/>
  <c r="A2275" i="1"/>
  <c r="B2275" i="1"/>
  <c r="A2276" i="1"/>
  <c r="B2276" i="1"/>
  <c r="A2277" i="1"/>
  <c r="B2277" i="1"/>
  <c r="A2278" i="1"/>
  <c r="B2278" i="1"/>
  <c r="A2279" i="1"/>
  <c r="B2279" i="1"/>
  <c r="A2280" i="1"/>
  <c r="B2280" i="1"/>
  <c r="A2281" i="1"/>
  <c r="B2281" i="1"/>
  <c r="A2282" i="1"/>
  <c r="B2282" i="1"/>
  <c r="A2283" i="1"/>
  <c r="B2283" i="1"/>
  <c r="A2284" i="1"/>
  <c r="B2284" i="1"/>
  <c r="A2285" i="1"/>
  <c r="B2285" i="1"/>
  <c r="A2286" i="1"/>
  <c r="B2286" i="1"/>
  <c r="A2287" i="1"/>
  <c r="B2287" i="1"/>
  <c r="A2288" i="1"/>
  <c r="B2288" i="1"/>
  <c r="A2289" i="1"/>
  <c r="B2289" i="1"/>
  <c r="A2290" i="1"/>
  <c r="B2290" i="1"/>
  <c r="A2291" i="1"/>
  <c r="B2291" i="1"/>
  <c r="A2292" i="1"/>
  <c r="B2292" i="1"/>
  <c r="A2293" i="1"/>
  <c r="B2293" i="1"/>
  <c r="A2294" i="1"/>
  <c r="B2294" i="1"/>
  <c r="A2295" i="1"/>
  <c r="B2295" i="1"/>
  <c r="A2296" i="1"/>
  <c r="B2296" i="1"/>
  <c r="A2297" i="1"/>
  <c r="B2297" i="1"/>
  <c r="A2298" i="1"/>
  <c r="B2298" i="1"/>
  <c r="A2299" i="1"/>
  <c r="B2299" i="1"/>
  <c r="A2300" i="1"/>
  <c r="B2300" i="1"/>
  <c r="A2301" i="1"/>
  <c r="B2301" i="1"/>
  <c r="A2302" i="1"/>
  <c r="B2302" i="1"/>
  <c r="A2303" i="1"/>
  <c r="B2303" i="1"/>
  <c r="A2304" i="1"/>
  <c r="B2304" i="1"/>
  <c r="A2305" i="1"/>
  <c r="B2305" i="1"/>
  <c r="A2306" i="1"/>
  <c r="B2306" i="1"/>
  <c r="A2307" i="1"/>
  <c r="B2307" i="1"/>
  <c r="A2308" i="1"/>
  <c r="B2308" i="1"/>
  <c r="A2309" i="1"/>
  <c r="B2309" i="1"/>
  <c r="A2310" i="1"/>
  <c r="B2310" i="1"/>
  <c r="A2311" i="1"/>
  <c r="B2311" i="1"/>
  <c r="A2312" i="1"/>
  <c r="B2312" i="1"/>
  <c r="A2313" i="1"/>
  <c r="B2313" i="1"/>
  <c r="A2314" i="1"/>
  <c r="B2314" i="1"/>
  <c r="A2315" i="1"/>
  <c r="B2315" i="1"/>
  <c r="A2316" i="1"/>
  <c r="B2316" i="1"/>
  <c r="A2317" i="1"/>
  <c r="B2317" i="1"/>
  <c r="A2318" i="1"/>
  <c r="B2318" i="1"/>
  <c r="A2319" i="1"/>
  <c r="B2319" i="1"/>
  <c r="A2320" i="1"/>
  <c r="B2320" i="1"/>
  <c r="A2321" i="1"/>
  <c r="B2321" i="1"/>
  <c r="A2322" i="1"/>
  <c r="B2322" i="1"/>
  <c r="A2323" i="1"/>
  <c r="B2323" i="1"/>
  <c r="A2324" i="1"/>
  <c r="B2324" i="1"/>
  <c r="A2325" i="1"/>
  <c r="B2325" i="1"/>
  <c r="A2326" i="1"/>
  <c r="B2326" i="1"/>
  <c r="A2327" i="1"/>
  <c r="B2327" i="1"/>
  <c r="A2328" i="1"/>
  <c r="B2328" i="1"/>
  <c r="A2329" i="1"/>
  <c r="B2329" i="1"/>
  <c r="A2330" i="1"/>
  <c r="B2330" i="1"/>
  <c r="A2331" i="1"/>
  <c r="B2331" i="1"/>
  <c r="A2332" i="1"/>
  <c r="B2332" i="1"/>
  <c r="A2333" i="1"/>
  <c r="B2333" i="1"/>
  <c r="A2334" i="1"/>
  <c r="B2334" i="1"/>
  <c r="A2335" i="1"/>
  <c r="B2335" i="1"/>
  <c r="A2336" i="1"/>
  <c r="B2336" i="1"/>
  <c r="A2337" i="1"/>
  <c r="B2337" i="1"/>
  <c r="A2338" i="1"/>
  <c r="B2338" i="1"/>
  <c r="A2339" i="1"/>
  <c r="B2339" i="1"/>
  <c r="A2340" i="1"/>
  <c r="B2340" i="1"/>
  <c r="A2341" i="1"/>
  <c r="B2341" i="1"/>
  <c r="A2342" i="1"/>
  <c r="B2342" i="1"/>
  <c r="A2343" i="1"/>
  <c r="B2343" i="1"/>
  <c r="A2344" i="1"/>
  <c r="B2344" i="1"/>
  <c r="A2345" i="1"/>
  <c r="B2345" i="1"/>
  <c r="A2346" i="1"/>
  <c r="B2346" i="1"/>
  <c r="A2347" i="1"/>
  <c r="B2347" i="1"/>
  <c r="A2348" i="1"/>
  <c r="B2348" i="1"/>
  <c r="A2349" i="1"/>
  <c r="B2349" i="1"/>
  <c r="A2350" i="1"/>
  <c r="B2350" i="1"/>
  <c r="A2351" i="1"/>
  <c r="B2351" i="1"/>
  <c r="A2352" i="1"/>
  <c r="B2352" i="1"/>
  <c r="A2353" i="1"/>
  <c r="B2353" i="1"/>
  <c r="A2354" i="1"/>
  <c r="B2354" i="1"/>
  <c r="A2355" i="1"/>
  <c r="B2355" i="1"/>
  <c r="A2356" i="1"/>
  <c r="B2356" i="1"/>
  <c r="A2357" i="1"/>
  <c r="B2357" i="1"/>
  <c r="A2358" i="1"/>
  <c r="B2358" i="1"/>
  <c r="A2359" i="1"/>
  <c r="B2359" i="1"/>
  <c r="A2360" i="1"/>
  <c r="B2360" i="1"/>
  <c r="A2361" i="1"/>
  <c r="B2361" i="1"/>
  <c r="A2362" i="1"/>
  <c r="B2362" i="1"/>
  <c r="A2363" i="1"/>
  <c r="B2363" i="1"/>
  <c r="A2364" i="1"/>
  <c r="B2364" i="1"/>
  <c r="A2365" i="1"/>
  <c r="B2365" i="1"/>
  <c r="A2366" i="1"/>
  <c r="B2366" i="1"/>
  <c r="A2367" i="1"/>
  <c r="B2367" i="1"/>
  <c r="A2368" i="1"/>
  <c r="B2368" i="1"/>
  <c r="A2369" i="1"/>
  <c r="B2369" i="1"/>
  <c r="A2370" i="1"/>
  <c r="B2370" i="1"/>
  <c r="A2371" i="1"/>
  <c r="B2371" i="1"/>
  <c r="A2372" i="1"/>
  <c r="B2372" i="1"/>
  <c r="A2373" i="1"/>
  <c r="B2373" i="1"/>
  <c r="A2374" i="1"/>
  <c r="B2374" i="1"/>
  <c r="A2375" i="1"/>
  <c r="B2375" i="1"/>
  <c r="A2376" i="1"/>
  <c r="B2376" i="1"/>
  <c r="A2377" i="1"/>
  <c r="B2377" i="1"/>
  <c r="A2378" i="1"/>
  <c r="B2378" i="1"/>
  <c r="A2379" i="1"/>
  <c r="B2379" i="1"/>
  <c r="A2380" i="1"/>
  <c r="B2380" i="1"/>
  <c r="A2381" i="1"/>
  <c r="B2381" i="1"/>
  <c r="A2382" i="1"/>
  <c r="B2382" i="1"/>
  <c r="A2383" i="1"/>
  <c r="B2383" i="1"/>
  <c r="A2384" i="1"/>
  <c r="B2384" i="1"/>
  <c r="A2385" i="1"/>
  <c r="B2385" i="1"/>
  <c r="A2386" i="1"/>
  <c r="B2386" i="1"/>
  <c r="A2387" i="1"/>
  <c r="B2387" i="1"/>
  <c r="A2388" i="1"/>
  <c r="B2388" i="1"/>
  <c r="A2389" i="1"/>
  <c r="B2389" i="1"/>
  <c r="A2390" i="1"/>
  <c r="B2390" i="1"/>
  <c r="A2391" i="1"/>
  <c r="B2391" i="1"/>
  <c r="A2392" i="1"/>
  <c r="B2392" i="1"/>
  <c r="A2393" i="1"/>
  <c r="B2393" i="1"/>
  <c r="A2394" i="1"/>
  <c r="B2394" i="1"/>
  <c r="A2395" i="1"/>
  <c r="B2395" i="1"/>
  <c r="A2396" i="1"/>
  <c r="B2396" i="1"/>
  <c r="A2397" i="1"/>
  <c r="B2397" i="1"/>
  <c r="A2398" i="1"/>
  <c r="B2398" i="1"/>
  <c r="A2399" i="1"/>
  <c r="B2399" i="1"/>
  <c r="A2400" i="1"/>
  <c r="B2400" i="1"/>
  <c r="A2401" i="1"/>
  <c r="B2401" i="1"/>
  <c r="A2402" i="1"/>
  <c r="B2402" i="1"/>
  <c r="A2403" i="1"/>
  <c r="B2403" i="1"/>
  <c r="A2404" i="1"/>
  <c r="B2404" i="1"/>
  <c r="A2405" i="1"/>
  <c r="B2405" i="1"/>
  <c r="A2406" i="1"/>
  <c r="B2406" i="1"/>
  <c r="A2407" i="1"/>
  <c r="B2407" i="1"/>
  <c r="A2408" i="1"/>
  <c r="B2408" i="1"/>
  <c r="A2409" i="1"/>
  <c r="B2409" i="1"/>
  <c r="A2410" i="1"/>
  <c r="B2410" i="1"/>
  <c r="A2411" i="1"/>
  <c r="B2411" i="1"/>
  <c r="A2412" i="1"/>
  <c r="B2412" i="1"/>
  <c r="A2413" i="1"/>
  <c r="B2413" i="1"/>
  <c r="A2414" i="1"/>
  <c r="B2414" i="1"/>
  <c r="A2415" i="1"/>
  <c r="B2415" i="1"/>
  <c r="A2416" i="1"/>
  <c r="B2416" i="1"/>
  <c r="A2417" i="1"/>
  <c r="B2417" i="1"/>
  <c r="A2418" i="1"/>
  <c r="B2418" i="1"/>
  <c r="A2419" i="1"/>
  <c r="B2419" i="1"/>
  <c r="A2420" i="1"/>
  <c r="B2420" i="1"/>
  <c r="A2421" i="1"/>
  <c r="B2421" i="1"/>
  <c r="A2422" i="1"/>
  <c r="B2422" i="1"/>
  <c r="A2423" i="1"/>
  <c r="B2423" i="1"/>
  <c r="A2424" i="1"/>
  <c r="B2424" i="1"/>
  <c r="A2425" i="1"/>
  <c r="B2425" i="1"/>
  <c r="A2426" i="1"/>
  <c r="B2426" i="1"/>
  <c r="A2427" i="1"/>
  <c r="B2427" i="1"/>
  <c r="A2428" i="1"/>
  <c r="B2428" i="1"/>
  <c r="A2429" i="1"/>
  <c r="B2429" i="1"/>
  <c r="A2430" i="1"/>
  <c r="B2430" i="1"/>
  <c r="A2431" i="1"/>
  <c r="B2431" i="1"/>
  <c r="A2432" i="1"/>
  <c r="B2432" i="1"/>
  <c r="A2433" i="1"/>
  <c r="B2433" i="1"/>
  <c r="A2434" i="1"/>
  <c r="B2434" i="1"/>
  <c r="A2435" i="1"/>
  <c r="B2435" i="1"/>
  <c r="A2436" i="1"/>
  <c r="B2436" i="1"/>
  <c r="A2437" i="1"/>
  <c r="B2437" i="1"/>
  <c r="A2438" i="1"/>
  <c r="B2438" i="1"/>
  <c r="A2439" i="1"/>
  <c r="B2439" i="1"/>
  <c r="A2440" i="1"/>
  <c r="B2440" i="1"/>
  <c r="A2441" i="1"/>
  <c r="B2441" i="1"/>
  <c r="A2442" i="1"/>
  <c r="B2442" i="1"/>
  <c r="A2443" i="1"/>
  <c r="B2443" i="1"/>
  <c r="A2444" i="1"/>
  <c r="B2444" i="1"/>
  <c r="A2445" i="1"/>
  <c r="B2445" i="1"/>
  <c r="A2446" i="1"/>
  <c r="B2446" i="1"/>
  <c r="A2447" i="1"/>
  <c r="B2447" i="1"/>
  <c r="A2448" i="1"/>
  <c r="B2448" i="1"/>
  <c r="A2449" i="1"/>
  <c r="B2449" i="1"/>
  <c r="A2450" i="1"/>
  <c r="B2450" i="1"/>
  <c r="A2451" i="1"/>
  <c r="B2451" i="1"/>
  <c r="A2452" i="1"/>
  <c r="B2452" i="1"/>
  <c r="A2453" i="1"/>
  <c r="B2453" i="1"/>
  <c r="A2454" i="1"/>
  <c r="B2454" i="1"/>
  <c r="A2455" i="1"/>
  <c r="B2455" i="1"/>
  <c r="A2456" i="1"/>
  <c r="B2456" i="1"/>
  <c r="A2457" i="1"/>
  <c r="B2457" i="1"/>
  <c r="A2458" i="1"/>
  <c r="B2458" i="1"/>
  <c r="A2459" i="1"/>
  <c r="B2459" i="1"/>
  <c r="A2460" i="1"/>
  <c r="B2460" i="1"/>
  <c r="A2461" i="1"/>
  <c r="B2461" i="1"/>
  <c r="A2462" i="1"/>
  <c r="B2462" i="1"/>
  <c r="A2463" i="1"/>
  <c r="B2463" i="1"/>
  <c r="A2464" i="1"/>
  <c r="B2464" i="1"/>
  <c r="A2465" i="1"/>
  <c r="B2465" i="1"/>
  <c r="A2466" i="1"/>
  <c r="B2466" i="1"/>
  <c r="A2467" i="1"/>
  <c r="B2467" i="1"/>
  <c r="A2468" i="1"/>
  <c r="B2468" i="1"/>
  <c r="A2469" i="1"/>
  <c r="B2469" i="1"/>
  <c r="A2470" i="1"/>
  <c r="B2470" i="1"/>
  <c r="A2471" i="1"/>
  <c r="B2471" i="1"/>
  <c r="A2472" i="1"/>
  <c r="B2472" i="1"/>
  <c r="A2473" i="1"/>
  <c r="B2473" i="1"/>
  <c r="A2474" i="1"/>
  <c r="B2474" i="1"/>
  <c r="A2475" i="1"/>
  <c r="B2475" i="1"/>
  <c r="A2476" i="1"/>
  <c r="B2476" i="1"/>
  <c r="A2477" i="1"/>
  <c r="B2477" i="1"/>
  <c r="A2478" i="1"/>
  <c r="B2478" i="1"/>
  <c r="A2479" i="1"/>
  <c r="B2479" i="1"/>
  <c r="A2480" i="1"/>
  <c r="B2480" i="1"/>
  <c r="A2481" i="1"/>
  <c r="B2481" i="1"/>
  <c r="A2482" i="1"/>
  <c r="B2482" i="1"/>
  <c r="A2483" i="1"/>
  <c r="B2483" i="1"/>
  <c r="A2484" i="1"/>
  <c r="B2484" i="1"/>
  <c r="A2485" i="1"/>
  <c r="B2485" i="1"/>
  <c r="A2486" i="1"/>
  <c r="B2486" i="1"/>
  <c r="A2487" i="1"/>
  <c r="B2487" i="1"/>
  <c r="A2488" i="1"/>
  <c r="B2488" i="1"/>
  <c r="A2489" i="1"/>
  <c r="B2489" i="1"/>
  <c r="A2490" i="1"/>
  <c r="B2490" i="1"/>
  <c r="A2491" i="1"/>
  <c r="B2491" i="1"/>
  <c r="A2492" i="1"/>
  <c r="B2492" i="1"/>
  <c r="A2493" i="1"/>
  <c r="B2493" i="1"/>
  <c r="A2494" i="1"/>
  <c r="B2494" i="1"/>
  <c r="A2495" i="1"/>
  <c r="B2495" i="1"/>
  <c r="A2496" i="1"/>
  <c r="B2496" i="1"/>
  <c r="A2497" i="1"/>
  <c r="B2497" i="1"/>
  <c r="A2498" i="1"/>
  <c r="B2498" i="1"/>
  <c r="A2499" i="1"/>
  <c r="B2499" i="1"/>
  <c r="A2500" i="1"/>
  <c r="B2500" i="1"/>
  <c r="A2501" i="1"/>
  <c r="B2501" i="1"/>
  <c r="A2502" i="1"/>
  <c r="B2502" i="1"/>
  <c r="A2503" i="1"/>
  <c r="B2503" i="1"/>
  <c r="A2504" i="1"/>
  <c r="B2504" i="1"/>
  <c r="A2505" i="1"/>
  <c r="B2505" i="1"/>
  <c r="A2506" i="1"/>
  <c r="B2506" i="1"/>
  <c r="A2507" i="1"/>
  <c r="B2507" i="1"/>
  <c r="A2508" i="1"/>
  <c r="B2508" i="1"/>
  <c r="A2509" i="1"/>
  <c r="B2509" i="1"/>
  <c r="A2510" i="1"/>
  <c r="B2510" i="1"/>
  <c r="A2511" i="1"/>
  <c r="B2511" i="1"/>
  <c r="A2512" i="1"/>
  <c r="B2512" i="1"/>
  <c r="A2513" i="1"/>
  <c r="B2513" i="1"/>
  <c r="A2514" i="1"/>
  <c r="B2514" i="1"/>
  <c r="A2515" i="1"/>
  <c r="B2515" i="1"/>
  <c r="A2516" i="1"/>
  <c r="B2516" i="1"/>
  <c r="A2517" i="1"/>
  <c r="B2517" i="1"/>
  <c r="A2518" i="1"/>
  <c r="B2518" i="1"/>
  <c r="A2519" i="1"/>
  <c r="B2519" i="1"/>
  <c r="A2520" i="1"/>
  <c r="B2520" i="1"/>
  <c r="A2521" i="1"/>
  <c r="B2521" i="1"/>
  <c r="A2522" i="1"/>
  <c r="B2522" i="1"/>
  <c r="A2523" i="1"/>
  <c r="B2523" i="1"/>
  <c r="A2524" i="1"/>
  <c r="B2524" i="1"/>
  <c r="A2525" i="1"/>
  <c r="B2525" i="1"/>
  <c r="A2526" i="1"/>
  <c r="B2526" i="1"/>
  <c r="A2527" i="1"/>
  <c r="B2527" i="1"/>
  <c r="A2528" i="1"/>
  <c r="B2528" i="1"/>
  <c r="A2529" i="1"/>
  <c r="B2529" i="1"/>
  <c r="A2530" i="1"/>
  <c r="B2530" i="1"/>
  <c r="A2531" i="1"/>
  <c r="B2531" i="1"/>
  <c r="A2532" i="1"/>
  <c r="B2532" i="1"/>
  <c r="A2533" i="1"/>
  <c r="B2533" i="1"/>
  <c r="A2534" i="1"/>
  <c r="B2534" i="1"/>
  <c r="A2535" i="1"/>
  <c r="B2535" i="1"/>
  <c r="A2536" i="1"/>
  <c r="B2536" i="1"/>
  <c r="A2537" i="1"/>
  <c r="B2537" i="1"/>
  <c r="A2538" i="1"/>
  <c r="B2538" i="1"/>
  <c r="A2539" i="1"/>
  <c r="B2539" i="1"/>
  <c r="A2540" i="1"/>
  <c r="B2540" i="1"/>
  <c r="A2541" i="1"/>
  <c r="B2541" i="1"/>
  <c r="A2542" i="1"/>
  <c r="B2542" i="1"/>
  <c r="A2543" i="1"/>
  <c r="B2543" i="1"/>
  <c r="A2544" i="1"/>
  <c r="B2544" i="1"/>
  <c r="A2545" i="1"/>
  <c r="B2545" i="1"/>
  <c r="A2546" i="1"/>
  <c r="B2546" i="1"/>
  <c r="A2547" i="1"/>
  <c r="B2547" i="1"/>
  <c r="A2548" i="1"/>
  <c r="B2548" i="1"/>
  <c r="A2549" i="1"/>
  <c r="B2549" i="1"/>
  <c r="A2550" i="1"/>
  <c r="B2550" i="1"/>
  <c r="A2551" i="1"/>
  <c r="B2551" i="1"/>
  <c r="A2552" i="1"/>
  <c r="B2552" i="1"/>
  <c r="A2553" i="1"/>
  <c r="B2553" i="1"/>
  <c r="A2554" i="1"/>
  <c r="B2554" i="1"/>
  <c r="A2555" i="1"/>
  <c r="B2555" i="1"/>
  <c r="A2556" i="1"/>
  <c r="B2556" i="1"/>
  <c r="A2557" i="1"/>
  <c r="B2557" i="1"/>
  <c r="A2558" i="1"/>
  <c r="B2558" i="1"/>
  <c r="A2559" i="1"/>
  <c r="B2559" i="1"/>
  <c r="A2560" i="1"/>
  <c r="B2560" i="1"/>
  <c r="A2561" i="1"/>
  <c r="B2561" i="1"/>
  <c r="A2562" i="1"/>
  <c r="B2562" i="1"/>
  <c r="A2563" i="1"/>
  <c r="B2563" i="1"/>
  <c r="A2564" i="1"/>
  <c r="B2564" i="1"/>
  <c r="A2565" i="1"/>
  <c r="B2565" i="1"/>
  <c r="A2566" i="1"/>
  <c r="B2566" i="1"/>
  <c r="A2567" i="1"/>
  <c r="B2567" i="1"/>
  <c r="A2568" i="1"/>
  <c r="B2568" i="1"/>
  <c r="A2569" i="1"/>
  <c r="B2569" i="1"/>
  <c r="A2570" i="1"/>
  <c r="B2570" i="1"/>
  <c r="A2571" i="1"/>
  <c r="B2571" i="1"/>
  <c r="A2572" i="1"/>
  <c r="B2572" i="1"/>
  <c r="A2573" i="1"/>
  <c r="B2573" i="1"/>
  <c r="A2574" i="1"/>
  <c r="B2574" i="1"/>
  <c r="A2575" i="1"/>
  <c r="B2575" i="1"/>
  <c r="A2576" i="1"/>
  <c r="B2576" i="1"/>
  <c r="A2577" i="1"/>
  <c r="B2577" i="1"/>
  <c r="A2578" i="1"/>
  <c r="B2578" i="1"/>
  <c r="A2579" i="1"/>
  <c r="B2579" i="1"/>
  <c r="A2580" i="1"/>
  <c r="B2580" i="1"/>
  <c r="A2581" i="1"/>
  <c r="B2581" i="1"/>
  <c r="A2582" i="1"/>
  <c r="B2582" i="1"/>
  <c r="A2583" i="1"/>
  <c r="B2583" i="1"/>
  <c r="A2584" i="1"/>
  <c r="B2584" i="1"/>
  <c r="A2585" i="1"/>
  <c r="B2585" i="1"/>
  <c r="A2586" i="1"/>
  <c r="B2586" i="1"/>
  <c r="A2587" i="1"/>
  <c r="B2587" i="1"/>
  <c r="A2588" i="1"/>
  <c r="B2588" i="1"/>
  <c r="A2589" i="1"/>
  <c r="B2589" i="1"/>
  <c r="A2590" i="1"/>
  <c r="B2590" i="1"/>
  <c r="A2591" i="1"/>
  <c r="B2591" i="1"/>
  <c r="A2592" i="1"/>
  <c r="B2592" i="1"/>
  <c r="A2593" i="1"/>
  <c r="B2593" i="1"/>
  <c r="A2594" i="1"/>
  <c r="B2594" i="1"/>
  <c r="A2595" i="1"/>
  <c r="B2595" i="1"/>
  <c r="A2596" i="1"/>
  <c r="B2596" i="1"/>
  <c r="A2597" i="1"/>
  <c r="B2597" i="1"/>
  <c r="A2598" i="1"/>
  <c r="B2598" i="1"/>
  <c r="A2599" i="1"/>
  <c r="B2599" i="1"/>
  <c r="A2600" i="1"/>
  <c r="B2600" i="1"/>
  <c r="A2601" i="1"/>
  <c r="B2601" i="1"/>
  <c r="A2602" i="1"/>
  <c r="B2602" i="1"/>
  <c r="A2603" i="1"/>
  <c r="B2603" i="1"/>
  <c r="A2604" i="1"/>
  <c r="B2604" i="1"/>
  <c r="A2605" i="1"/>
  <c r="B2605" i="1"/>
  <c r="A2606" i="1"/>
  <c r="B2606" i="1"/>
  <c r="A2607" i="1"/>
  <c r="B2607" i="1"/>
  <c r="A2608" i="1"/>
  <c r="B2608" i="1"/>
  <c r="A2609" i="1"/>
  <c r="B2609" i="1"/>
  <c r="A2610" i="1"/>
  <c r="B2610" i="1"/>
  <c r="A2611" i="1"/>
  <c r="B2611" i="1"/>
  <c r="A2612" i="1"/>
  <c r="B2612" i="1"/>
  <c r="A2613" i="1"/>
  <c r="B2613" i="1"/>
  <c r="A2614" i="1"/>
  <c r="B2614" i="1"/>
  <c r="A2615" i="1"/>
  <c r="B2615" i="1"/>
  <c r="A2616" i="1"/>
  <c r="B2616" i="1"/>
  <c r="A2617" i="1"/>
  <c r="B2617" i="1"/>
  <c r="A2618" i="1"/>
  <c r="B2618" i="1"/>
  <c r="A2619" i="1"/>
  <c r="B2619" i="1"/>
  <c r="A2620" i="1"/>
  <c r="B2620" i="1"/>
  <c r="A2621" i="1"/>
  <c r="B2621" i="1"/>
  <c r="A2622" i="1"/>
  <c r="B2622" i="1"/>
  <c r="A2623" i="1"/>
  <c r="B2623" i="1"/>
  <c r="A2624" i="1"/>
  <c r="B2624" i="1"/>
  <c r="A2625" i="1"/>
  <c r="B2625" i="1"/>
  <c r="A2626" i="1"/>
  <c r="B2626" i="1"/>
  <c r="A2627" i="1"/>
  <c r="B2627" i="1"/>
  <c r="A2628" i="1"/>
  <c r="B2628" i="1"/>
  <c r="A2629" i="1"/>
  <c r="B2629" i="1"/>
  <c r="A2630" i="1"/>
  <c r="B2630" i="1"/>
  <c r="A2631" i="1"/>
  <c r="B2631" i="1"/>
  <c r="A2632" i="1"/>
  <c r="B2632" i="1"/>
  <c r="A2633" i="1"/>
  <c r="B2633" i="1"/>
  <c r="A2634" i="1"/>
  <c r="B2634" i="1"/>
  <c r="A2635" i="1"/>
  <c r="B2635" i="1"/>
  <c r="A2636" i="1"/>
  <c r="B2636" i="1"/>
  <c r="A2637" i="1"/>
  <c r="B2637" i="1"/>
  <c r="A2638" i="1"/>
  <c r="B2638" i="1"/>
  <c r="A2639" i="1"/>
  <c r="B2639" i="1"/>
  <c r="A2640" i="1"/>
  <c r="B2640" i="1"/>
  <c r="A2641" i="1"/>
  <c r="B2641" i="1"/>
  <c r="A2642" i="1"/>
  <c r="B2642" i="1"/>
  <c r="A2643" i="1"/>
  <c r="B2643" i="1"/>
  <c r="A2644" i="1"/>
  <c r="B2644" i="1"/>
  <c r="A2645" i="1"/>
  <c r="B2645" i="1"/>
  <c r="A2646" i="1"/>
  <c r="B2646" i="1"/>
  <c r="A2647" i="1"/>
  <c r="B2647" i="1"/>
  <c r="A2648" i="1"/>
  <c r="B2648" i="1"/>
  <c r="A2649" i="1"/>
  <c r="B2649" i="1"/>
  <c r="A2650" i="1"/>
  <c r="B2650" i="1"/>
  <c r="A2651" i="1"/>
  <c r="B2651" i="1"/>
  <c r="A2652" i="1"/>
  <c r="B2652" i="1"/>
  <c r="A2653" i="1"/>
  <c r="B2653" i="1"/>
  <c r="A2654" i="1"/>
  <c r="B2654" i="1"/>
  <c r="A2655" i="1"/>
  <c r="B2655" i="1"/>
  <c r="A2656" i="1"/>
  <c r="B2656" i="1"/>
  <c r="A2657" i="1"/>
  <c r="B2657" i="1"/>
  <c r="A2658" i="1"/>
  <c r="B2658" i="1"/>
  <c r="A2659" i="1"/>
  <c r="B2659" i="1"/>
  <c r="A2660" i="1"/>
  <c r="B2660" i="1"/>
  <c r="A2661" i="1"/>
  <c r="B2661" i="1"/>
  <c r="A2662" i="1"/>
  <c r="B2662" i="1"/>
  <c r="A2663" i="1"/>
  <c r="B2663" i="1"/>
  <c r="A2664" i="1"/>
  <c r="B2664" i="1"/>
  <c r="A2665" i="1"/>
  <c r="B2665" i="1"/>
  <c r="A2666" i="1"/>
  <c r="B2666" i="1"/>
  <c r="A2667" i="1"/>
  <c r="B2667" i="1"/>
  <c r="A2668" i="1"/>
  <c r="B2668" i="1"/>
  <c r="A2669" i="1"/>
  <c r="B2669" i="1"/>
  <c r="A2670" i="1"/>
  <c r="B2670" i="1"/>
  <c r="A2671" i="1"/>
  <c r="B2671" i="1"/>
  <c r="A2672" i="1"/>
  <c r="B2672" i="1"/>
  <c r="A2673" i="1"/>
  <c r="B2673" i="1"/>
  <c r="A2674" i="1"/>
  <c r="B2674" i="1"/>
  <c r="A2675" i="1"/>
  <c r="B2675" i="1"/>
  <c r="A2676" i="1"/>
  <c r="B2676" i="1"/>
  <c r="A2677" i="1"/>
  <c r="B2677" i="1"/>
  <c r="A2678" i="1"/>
  <c r="B2678" i="1"/>
  <c r="A2679" i="1"/>
  <c r="B2679" i="1"/>
  <c r="A2680" i="1"/>
  <c r="B2680" i="1"/>
  <c r="A2681" i="1"/>
  <c r="B2681" i="1"/>
  <c r="A2682" i="1"/>
  <c r="B2682" i="1"/>
  <c r="A2683" i="1"/>
  <c r="B2683" i="1"/>
  <c r="A2684" i="1"/>
  <c r="B2684" i="1"/>
  <c r="A2685" i="1"/>
  <c r="B2685" i="1"/>
  <c r="A2686" i="1"/>
  <c r="B2686" i="1"/>
  <c r="A2687" i="1"/>
  <c r="B2687" i="1"/>
  <c r="A2688" i="1"/>
  <c r="B2688" i="1"/>
  <c r="A2689" i="1"/>
  <c r="B2689" i="1"/>
  <c r="A2690" i="1"/>
  <c r="B2690" i="1"/>
  <c r="A2691" i="1"/>
  <c r="B2691" i="1"/>
  <c r="A2692" i="1"/>
  <c r="B2692" i="1"/>
  <c r="A2693" i="1"/>
  <c r="B2693" i="1"/>
  <c r="A2694" i="1"/>
  <c r="B2694" i="1"/>
  <c r="A2695" i="1"/>
  <c r="B2695" i="1"/>
  <c r="A2696" i="1"/>
  <c r="B2696" i="1"/>
  <c r="A2697" i="1"/>
  <c r="B2697" i="1"/>
  <c r="A2698" i="1"/>
  <c r="B2698" i="1"/>
  <c r="A2699" i="1"/>
  <c r="B2699" i="1"/>
  <c r="A2700" i="1"/>
  <c r="B2700" i="1"/>
  <c r="A2701" i="1"/>
  <c r="B2701" i="1"/>
  <c r="A2702" i="1"/>
  <c r="B2702" i="1"/>
  <c r="A2703" i="1"/>
  <c r="B2703" i="1"/>
  <c r="A2704" i="1"/>
  <c r="B2704" i="1"/>
  <c r="A2705" i="1"/>
  <c r="B2705" i="1"/>
  <c r="A2706" i="1"/>
  <c r="B2706" i="1"/>
  <c r="A2707" i="1"/>
  <c r="B2707" i="1"/>
  <c r="A2708" i="1"/>
  <c r="B2708" i="1"/>
  <c r="A2709" i="1"/>
  <c r="B2709" i="1"/>
  <c r="A2710" i="1"/>
  <c r="B2710" i="1"/>
  <c r="A2711" i="1"/>
  <c r="B2711" i="1"/>
  <c r="A2712" i="1"/>
  <c r="B2712" i="1"/>
  <c r="A2713" i="1"/>
  <c r="B2713" i="1"/>
  <c r="A2714" i="1"/>
  <c r="B2714" i="1"/>
  <c r="A2715" i="1"/>
  <c r="B2715" i="1"/>
  <c r="A2716" i="1"/>
  <c r="B2716" i="1"/>
  <c r="A2717" i="1"/>
  <c r="B2717" i="1"/>
  <c r="A2718" i="1"/>
  <c r="B2718" i="1"/>
  <c r="A2719" i="1"/>
  <c r="B2719" i="1"/>
  <c r="A2720" i="1"/>
  <c r="B2720" i="1"/>
  <c r="A2721" i="1"/>
  <c r="B2721" i="1"/>
  <c r="A2722" i="1"/>
  <c r="B2722" i="1"/>
  <c r="A2723" i="1"/>
  <c r="B2723" i="1"/>
  <c r="A2724" i="1"/>
  <c r="B2724" i="1"/>
  <c r="A2725" i="1"/>
  <c r="B2725" i="1"/>
  <c r="A2726" i="1"/>
  <c r="B2726" i="1"/>
  <c r="A2727" i="1"/>
  <c r="B2727" i="1"/>
  <c r="A2728" i="1"/>
  <c r="B2728" i="1"/>
  <c r="A2729" i="1"/>
  <c r="B2729" i="1"/>
  <c r="A2730" i="1"/>
  <c r="B2730" i="1"/>
  <c r="A2731" i="1"/>
  <c r="B2731" i="1"/>
  <c r="A2732" i="1"/>
  <c r="B2732" i="1"/>
  <c r="A2733" i="1"/>
  <c r="B2733" i="1"/>
  <c r="A2734" i="1"/>
  <c r="B2734" i="1"/>
  <c r="A2735" i="1"/>
  <c r="B2735" i="1"/>
  <c r="A2736" i="1"/>
  <c r="B2736" i="1"/>
  <c r="A2737" i="1"/>
  <c r="B2737" i="1"/>
  <c r="A2738" i="1"/>
  <c r="B2738" i="1"/>
  <c r="A2739" i="1"/>
  <c r="B2739" i="1"/>
  <c r="A2740" i="1"/>
  <c r="B2740" i="1"/>
  <c r="A2741" i="1"/>
  <c r="B2741" i="1"/>
  <c r="A2742" i="1"/>
  <c r="B2742" i="1"/>
  <c r="A2743" i="1"/>
  <c r="B2743" i="1"/>
  <c r="A2744" i="1"/>
  <c r="B2744" i="1"/>
  <c r="A2745" i="1"/>
  <c r="B2745" i="1"/>
  <c r="A2746" i="1"/>
  <c r="B2746" i="1"/>
  <c r="A2747" i="1"/>
  <c r="B2747" i="1"/>
  <c r="A2748" i="1"/>
  <c r="B2748" i="1"/>
  <c r="A2749" i="1"/>
  <c r="B2749" i="1"/>
  <c r="A2750" i="1"/>
  <c r="B2750" i="1"/>
  <c r="A2751" i="1"/>
  <c r="B2751" i="1"/>
  <c r="A2752" i="1"/>
  <c r="B2752" i="1"/>
  <c r="A2753" i="1"/>
  <c r="B2753" i="1"/>
  <c r="A2754" i="1"/>
  <c r="B2754" i="1"/>
  <c r="A2755" i="1"/>
  <c r="B2755" i="1"/>
  <c r="A2756" i="1"/>
  <c r="B2756" i="1"/>
  <c r="A2757" i="1"/>
  <c r="B2757" i="1"/>
  <c r="A2758" i="1"/>
  <c r="B2758" i="1"/>
  <c r="A2759" i="1"/>
  <c r="B2759" i="1"/>
  <c r="A2760" i="1"/>
  <c r="B2760" i="1"/>
  <c r="A2761" i="1"/>
  <c r="B2761" i="1"/>
  <c r="A2762" i="1"/>
  <c r="B2762" i="1"/>
  <c r="A2763" i="1"/>
  <c r="B2763" i="1"/>
  <c r="A2764" i="1"/>
  <c r="B2764" i="1"/>
  <c r="A2765" i="1"/>
  <c r="B2765" i="1"/>
  <c r="A2766" i="1"/>
  <c r="B2766" i="1"/>
  <c r="A2767" i="1"/>
  <c r="B2767" i="1"/>
  <c r="A2768" i="1"/>
  <c r="B2768" i="1"/>
  <c r="A2769" i="1"/>
  <c r="B2769" i="1"/>
  <c r="A2770" i="1"/>
  <c r="B2770" i="1"/>
  <c r="A2771" i="1"/>
  <c r="B2771" i="1"/>
  <c r="A2772" i="1"/>
  <c r="B2772" i="1"/>
  <c r="A2773" i="1"/>
  <c r="B2773" i="1"/>
  <c r="A2774" i="1"/>
  <c r="B2774" i="1"/>
  <c r="A2775" i="1"/>
  <c r="B2775" i="1"/>
  <c r="A2776" i="1"/>
  <c r="B2776" i="1"/>
  <c r="A2777" i="1"/>
  <c r="B2777" i="1"/>
  <c r="A2778" i="1"/>
  <c r="B2778" i="1"/>
  <c r="A2779" i="1"/>
  <c r="B2779" i="1"/>
  <c r="A2780" i="1"/>
  <c r="B2780" i="1"/>
  <c r="A2781" i="1"/>
  <c r="B2781" i="1"/>
  <c r="A2782" i="1"/>
  <c r="B2782" i="1"/>
  <c r="A2783" i="1"/>
  <c r="B2783" i="1"/>
  <c r="A2784" i="1"/>
  <c r="B2784" i="1"/>
  <c r="A2785" i="1"/>
  <c r="B2785" i="1"/>
  <c r="A2786" i="1"/>
  <c r="B2786" i="1"/>
  <c r="A2787" i="1"/>
  <c r="B2787" i="1"/>
  <c r="A2788" i="1"/>
  <c r="B2788" i="1"/>
  <c r="A2789" i="1"/>
  <c r="B2789" i="1"/>
  <c r="A2790" i="1"/>
  <c r="B2790" i="1"/>
  <c r="A2791" i="1"/>
  <c r="B2791" i="1"/>
  <c r="A2792" i="1"/>
  <c r="B2792" i="1"/>
  <c r="A2793" i="1"/>
  <c r="B2793" i="1"/>
  <c r="A2794" i="1"/>
  <c r="B2794" i="1"/>
  <c r="A2795" i="1"/>
  <c r="B2795" i="1"/>
  <c r="A2796" i="1"/>
  <c r="B2796" i="1"/>
  <c r="A2797" i="1"/>
  <c r="B2797" i="1"/>
  <c r="A2798" i="1"/>
  <c r="B2798" i="1"/>
  <c r="A2799" i="1"/>
  <c r="B2799" i="1"/>
  <c r="A2800" i="1"/>
  <c r="B2800" i="1"/>
  <c r="A2801" i="1"/>
  <c r="B2801" i="1"/>
  <c r="A2802" i="1"/>
  <c r="B2802" i="1"/>
  <c r="A2803" i="1"/>
  <c r="B2803" i="1"/>
  <c r="A2804" i="1"/>
  <c r="B2804" i="1"/>
  <c r="A2805" i="1"/>
  <c r="B2805" i="1"/>
  <c r="A2806" i="1"/>
  <c r="B2806" i="1"/>
  <c r="A2807" i="1"/>
  <c r="B2807" i="1"/>
  <c r="A2808" i="1"/>
  <c r="B2808" i="1"/>
  <c r="A2809" i="1"/>
  <c r="B2809" i="1"/>
  <c r="A2810" i="1"/>
  <c r="B2810" i="1"/>
  <c r="A2811" i="1"/>
  <c r="B2811" i="1"/>
  <c r="A2812" i="1"/>
  <c r="B2812" i="1"/>
  <c r="A2813" i="1"/>
  <c r="B2813" i="1"/>
  <c r="A2814" i="1"/>
  <c r="B2814" i="1"/>
  <c r="A2815" i="1"/>
  <c r="B2815" i="1"/>
  <c r="A2816" i="1"/>
  <c r="B2816" i="1"/>
  <c r="A2817" i="1"/>
  <c r="B2817" i="1"/>
  <c r="A2818" i="1"/>
  <c r="B2818" i="1"/>
  <c r="A2819" i="1"/>
  <c r="B2819" i="1"/>
  <c r="A2820" i="1"/>
  <c r="B2820" i="1"/>
  <c r="A2821" i="1"/>
  <c r="B2821" i="1"/>
  <c r="A2822" i="1"/>
  <c r="B2822" i="1"/>
  <c r="A2823" i="1"/>
  <c r="B2823" i="1"/>
  <c r="A2824" i="1"/>
  <c r="B2824" i="1"/>
  <c r="A2825" i="1"/>
  <c r="B2825" i="1"/>
  <c r="A2826" i="1"/>
  <c r="B2826" i="1"/>
  <c r="A2827" i="1"/>
  <c r="B2827" i="1"/>
  <c r="A2828" i="1"/>
  <c r="B2828" i="1"/>
  <c r="A2829" i="1"/>
  <c r="B2829" i="1"/>
  <c r="A2830" i="1"/>
  <c r="B2830" i="1"/>
  <c r="A2831" i="1"/>
  <c r="B2831" i="1"/>
  <c r="A2832" i="1"/>
  <c r="B2832" i="1"/>
  <c r="A2833" i="1"/>
  <c r="B2833" i="1"/>
  <c r="A2834" i="1"/>
  <c r="B2834" i="1"/>
  <c r="A2835" i="1"/>
  <c r="B2835" i="1"/>
  <c r="A2836" i="1"/>
  <c r="B2836" i="1"/>
  <c r="A2837" i="1"/>
  <c r="B2837" i="1"/>
  <c r="A2838" i="1"/>
  <c r="B2838" i="1"/>
  <c r="A2839" i="1"/>
  <c r="B2839" i="1"/>
  <c r="A2840" i="1"/>
  <c r="B2840" i="1"/>
  <c r="A2841" i="1"/>
  <c r="B2841" i="1"/>
  <c r="A2842" i="1"/>
  <c r="B2842" i="1"/>
  <c r="A2843" i="1"/>
  <c r="B2843" i="1"/>
  <c r="A2844" i="1"/>
  <c r="B2844" i="1"/>
  <c r="A2845" i="1"/>
  <c r="B2845" i="1"/>
  <c r="A2846" i="1"/>
  <c r="B2846" i="1"/>
  <c r="A2847" i="1"/>
  <c r="B2847" i="1"/>
  <c r="A2848" i="1"/>
  <c r="B2848" i="1"/>
  <c r="A2849" i="1"/>
  <c r="B2849" i="1"/>
</calcChain>
</file>

<file path=xl/sharedStrings.xml><?xml version="1.0" encoding="utf-8"?>
<sst xmlns="http://schemas.openxmlformats.org/spreadsheetml/2006/main" count="12294" uniqueCount="6237">
  <si>
    <t>CIPFamily</t>
  </si>
  <si>
    <t>CIPCode</t>
  </si>
  <si>
    <t>Action</t>
  </si>
  <si>
    <t>TextChange</t>
  </si>
  <si>
    <t>CIPTitle</t>
  </si>
  <si>
    <t>CIPDefinition</t>
  </si>
  <si>
    <t>CrossReferences</t>
  </si>
  <si>
    <t>Examples</t>
  </si>
  <si>
    <t>No substantive changes</t>
  </si>
  <si>
    <t>yes</t>
  </si>
  <si>
    <t>AGRICULTURAL/ANIMAL/PLANT/VETERINARY SCIENCE AND RELATED FIELDS.</t>
  </si>
  <si>
    <t>Instructional programs that focus on agriculture, animal, plant, veterinary, and related sciences and that prepares individuals to apply specific knowledge, methods, and techniques to the management and performance of agricultural and veterinary operations.</t>
  </si>
  <si>
    <t>no</t>
  </si>
  <si>
    <t>Agriculture, General.</t>
  </si>
  <si>
    <t>Instructional content is defined in code 01.0000.</t>
  </si>
  <si>
    <t>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t>
  </si>
  <si>
    <t>14.0301 - Agricultural Engineering.</t>
  </si>
  <si>
    <t>Agricultural Business and Management.</t>
  </si>
  <si>
    <t>Instructional content for this group of programs is defined in codes 01.0101 - 01.0199.</t>
  </si>
  <si>
    <t>Agricultural Business and Management, General.</t>
  </si>
  <si>
    <t>A  general program that focuses on modern business and economic principles involved in the organization, operation, and management of agricultural enterprises.</t>
  </si>
  <si>
    <t>Agribusiness/Agricultural Business Operations.</t>
  </si>
  <si>
    <t>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t>
  </si>
  <si>
    <t>Agricultural Economics.</t>
  </si>
  <si>
    <t>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t>
  </si>
  <si>
    <t>03.0204 - Environmental/Natural Resource Economics.</t>
  </si>
  <si>
    <t>Examples: - Agroeconomics</t>
  </si>
  <si>
    <t>Farm/Farm and Ranch Management.</t>
  </si>
  <si>
    <t>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t>
  </si>
  <si>
    <t>Agricultural/Farm Supplies Retailing and Wholesaling.</t>
  </si>
  <si>
    <t>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t>
  </si>
  <si>
    <t>52.1803 - Retailing and Retail Operations., 52.1901 - Auctioneering., 52.0202 - Purchasing, Procurement/Acquisitions and Contracts Management.</t>
  </si>
  <si>
    <t>Agricultural Business Technology/Technician.</t>
  </si>
  <si>
    <t>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t>
  </si>
  <si>
    <t>Agricultural Business and Management, Other.</t>
  </si>
  <si>
    <t>Any instructional program in agricultural business and management not listed above.</t>
  </si>
  <si>
    <t>Agricultural Mechanization.</t>
  </si>
  <si>
    <t>Instructional content for this group of programs is defined in codes 01.0201 - 01.0299.</t>
  </si>
  <si>
    <t>Agricultural Mechanization, General.</t>
  </si>
  <si>
    <t>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t>
  </si>
  <si>
    <t>Agricultural Power Machinery Operation.</t>
  </si>
  <si>
    <t>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t>
  </si>
  <si>
    <t>49.0202 - Construction/Heavy Equipment/Earthmoving Equipment Operation.</t>
  </si>
  <si>
    <t>Examples: - Farm Equipment Operator</t>
  </si>
  <si>
    <t>Agricultural Mechanics and Equipment/Machine Technology/Technician.</t>
  </si>
  <si>
    <t>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t>
  </si>
  <si>
    <t>Examples: - Agricultural Equipment Mechanic, - Agricultural Equipment Technician, - Agricultural Machinery Technician, - Farm Equipment Service Technician</t>
  </si>
  <si>
    <t>New</t>
  </si>
  <si>
    <t>Irrigation Management Technology/Technician.</t>
  </si>
  <si>
    <t>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t>
  </si>
  <si>
    <t>Agricultural Mechanization, Other.</t>
  </si>
  <si>
    <t>Any instructional program in agricultural mechanization not listed above.</t>
  </si>
  <si>
    <t>Agricultural Production Operations.</t>
  </si>
  <si>
    <t>Instructional content for this group of programs is defined in codes 01.0301 - 01.0399.</t>
  </si>
  <si>
    <t>Agricultural Production Operations, General.</t>
  </si>
  <si>
    <t>A program that focuses on the general planning, economics, and use of facilities, natural resources, equipment, labor, and capital to produce plant and animal products, and that may prepare individuals for work in farming, ranching, and agribusiness.</t>
  </si>
  <si>
    <t>Animal/Livestock Husbandry and Production.</t>
  </si>
  <si>
    <t>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t>
  </si>
  <si>
    <t>Aquaculture.</t>
  </si>
  <si>
    <t>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t>
  </si>
  <si>
    <t>Crop Production.</t>
  </si>
  <si>
    <t>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t>
  </si>
  <si>
    <t>Dairy Husbandry and Production.</t>
  </si>
  <si>
    <t>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t>
  </si>
  <si>
    <t>Horse Husbandry/Equine Science and Management.</t>
  </si>
  <si>
    <t>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t>
  </si>
  <si>
    <t>Agroecology and Sustainable Agriculture.</t>
  </si>
  <si>
    <t>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t>
  </si>
  <si>
    <t>30.3301 - Sustainability Studies.</t>
  </si>
  <si>
    <t>Examples: - Agroecology, - Sustainable Agriculture, - Organic Farming</t>
  </si>
  <si>
    <t>Moved from</t>
  </si>
  <si>
    <t>Viticulture and Enology.</t>
  </si>
  <si>
    <t>Moved from 01.0309 to 01.1004</t>
  </si>
  <si>
    <t>Apiculture.</t>
  </si>
  <si>
    <t>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t>
  </si>
  <si>
    <t>36.0120 - Beekeeping.</t>
  </si>
  <si>
    <t>Examples: - Scientific Beekeeping, - Apiary Management</t>
  </si>
  <si>
    <t>Agricultural Production Operations, Other.</t>
  </si>
  <si>
    <t>Any instructional program in agricultural production operations not listed above.</t>
  </si>
  <si>
    <t>Agricultural and Food Products Processing.</t>
  </si>
  <si>
    <t>Instructional content for this group of programs is defined in codes 01.0401 - 01.0480.</t>
  </si>
  <si>
    <t>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t>
  </si>
  <si>
    <t>Reserved.</t>
  </si>
  <si>
    <t>Reserved for use by Statistics Canada. This CIP code is not valid for IPEDS reporting.</t>
  </si>
  <si>
    <t>Agricultural and Domestic Animal Services.</t>
  </si>
  <si>
    <t>Instructional content for this group of programs is defined in codes 01.0504 - 01.0599.</t>
  </si>
  <si>
    <t>Dog/Pet/Animal Grooming.</t>
  </si>
  <si>
    <t>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t>
  </si>
  <si>
    <t>Animal Training.</t>
  </si>
  <si>
    <t>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t>
  </si>
  <si>
    <t>Equestrian/Equine Studies.</t>
  </si>
  <si>
    <t>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t>
  </si>
  <si>
    <t>Taxidermy/Taxidermist.</t>
  </si>
  <si>
    <t>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t>
  </si>
  <si>
    <t>Farrier Science.</t>
  </si>
  <si>
    <t>A program of study that prepares individuals to become specialists in equine hoof care (farriers). Includes instruction in equine science, equine health and first aid, general horseshoeing, corrective horseshoeing, gait analysis, and metal forging techniques using gas or coal.</t>
  </si>
  <si>
    <t>Agricultural and Domestic Animal Services, Other.</t>
  </si>
  <si>
    <t>Any instructional program in agricultural and domestic animal services not listed above.</t>
  </si>
  <si>
    <t>Applied Horticulture and Horticultural Business Services.</t>
  </si>
  <si>
    <t>Instructional content for this group of programs is defined in codes 01.0601 - 01.0699.</t>
  </si>
  <si>
    <t>Applied Horticulture/Horticulture Operations, General.</t>
  </si>
  <si>
    <t>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t>
  </si>
  <si>
    <t>Ornamental Horticulture.</t>
  </si>
  <si>
    <t>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t>
  </si>
  <si>
    <t>Greenhouse Operations and Management.</t>
  </si>
  <si>
    <t>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t>
  </si>
  <si>
    <t>Landscaping and Groundskeeping.</t>
  </si>
  <si>
    <t>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t>
  </si>
  <si>
    <t>04.0601 - Landscape Architecture.</t>
  </si>
  <si>
    <t>Examples: - Greenspace</t>
  </si>
  <si>
    <t>Plant Nursery Operations and Management.</t>
  </si>
  <si>
    <t>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t>
  </si>
  <si>
    <t>Turf and Turfgrass Management.</t>
  </si>
  <si>
    <t>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t>
  </si>
  <si>
    <t>Examples: - Golf and Sports Turf Management</t>
  </si>
  <si>
    <t>Floriculture/Floristry Operations and Management.</t>
  </si>
  <si>
    <t>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t>
  </si>
  <si>
    <t>Examples: - Floral Arrangement, - Floral Design, - Floristry, - Retail Floristry</t>
  </si>
  <si>
    <t>Public Horticulture.</t>
  </si>
  <si>
    <t>A program of study that focuses on combining traditional horticulture and public education and outreach. Includes instruction in botany, soil science, plant science, agricultural economics, leadership, and business.</t>
  </si>
  <si>
    <t>36.0123 - Master Gardener/Gardening.</t>
  </si>
  <si>
    <t>Urban and Community Horticulture.</t>
  </si>
  <si>
    <t>A program that focuses on principles and techniques for the production of horticultural crops in an urban environment. Includes instruction in ecology, environmental sustainability, food production systems, and plant and soil sciences.</t>
  </si>
  <si>
    <t>Applied Horticulture/Horticultural Business Services, Other.</t>
  </si>
  <si>
    <t>Any instructional program in horticultural service operations not listed above.</t>
  </si>
  <si>
    <t>03.0508 - Urban Forestry.</t>
  </si>
  <si>
    <t>International Agriculture.</t>
  </si>
  <si>
    <t>Instructional content is defined in code 01.0701.</t>
  </si>
  <si>
    <t>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t>
  </si>
  <si>
    <t>45.0604 - Development Economics and International Development.</t>
  </si>
  <si>
    <t>Agricultural Public Services.</t>
  </si>
  <si>
    <t>Instructional content for this group of programs is defined in codes 01.0801 - 01.0899.</t>
  </si>
  <si>
    <t>Agricultural and Extension Education Services.</t>
  </si>
  <si>
    <t>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t>
  </si>
  <si>
    <t>13.1301 - Agricultural Teacher Education., 45.1103 - Rural Sociology., 36.0123 - Master Gardener/Gardening.</t>
  </si>
  <si>
    <t>Agricultural Communication/Journalism.</t>
  </si>
  <si>
    <t>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t>
  </si>
  <si>
    <t>09.0407 - Science/Health/Environmental Journalism.</t>
  </si>
  <si>
    <t>Agricultural Public Services, Other.</t>
  </si>
  <si>
    <t>Any instructional program in general agricultural sciences and related services not listed above.</t>
  </si>
  <si>
    <t>Animal Sciences.</t>
  </si>
  <si>
    <t>Instructional content for this group of programs is defined in codes 01.0901 - 01.0999.</t>
  </si>
  <si>
    <t>Animal Sciences, General.</t>
  </si>
  <si>
    <t>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t>
  </si>
  <si>
    <t>26.0701 - Zoology/Animal Biology.</t>
  </si>
  <si>
    <t>Agricultural Animal Breeding.</t>
  </si>
  <si>
    <t>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t>
  </si>
  <si>
    <t>26.0804 - Animal Genetics.</t>
  </si>
  <si>
    <t>Animal Health.</t>
  </si>
  <si>
    <t>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t>
  </si>
  <si>
    <t>Animal Nutrition.</t>
  </si>
  <si>
    <t>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t>
  </si>
  <si>
    <t>Dairy Science.</t>
  </si>
  <si>
    <t>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t>
  </si>
  <si>
    <t>Livestock Management.</t>
  </si>
  <si>
    <t>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t>
  </si>
  <si>
    <t>Examples: - Meat Science</t>
  </si>
  <si>
    <t>Poultry Science.</t>
  </si>
  <si>
    <t>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t>
  </si>
  <si>
    <t>Animal Sciences, Other.</t>
  </si>
  <si>
    <t>Any instructional program in the animal sciences not listed above.</t>
  </si>
  <si>
    <t>Food Science and Technology.</t>
  </si>
  <si>
    <t>Instructional content for this group of programs is defined in codes 01.1001 - 01.1099.</t>
  </si>
  <si>
    <t>Food Science.</t>
  </si>
  <si>
    <t>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t>
  </si>
  <si>
    <t>19.0501 - Foods, Nutrition, and Wellness Studies, General., 12.0509 - Culinary Science/Culinology.</t>
  </si>
  <si>
    <t>Examples: - Food Safety</t>
  </si>
  <si>
    <t>Food Technology and Processing.</t>
  </si>
  <si>
    <t>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t>
  </si>
  <si>
    <t>Brewing Science.</t>
  </si>
  <si>
    <t>A program that focuses on the business, science, and technology of beer brewing operations. Includes instruction in biology, biochemistry, brewing, entrepreneurship, fermentation, malting, marketing, microbiology, quality control, and sanitation.</t>
  </si>
  <si>
    <t>52.0910 - Brewery/Brewpub Operations/Management.</t>
  </si>
  <si>
    <t>Examples: - Sustainable Brewing</t>
  </si>
  <si>
    <t>Moved to</t>
  </si>
  <si>
    <t>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t>
  </si>
  <si>
    <t>Examples: - Viticulture, - Enology</t>
  </si>
  <si>
    <t>Zymology/Fermentation Science.</t>
  </si>
  <si>
    <t>A program that focuses on the business, science, and technology of fermented food production. Includes instruction in biology, biochemistry, brewing, entrepreneurship, fermentation, marketing, microbiology, quality control, and sanitation.</t>
  </si>
  <si>
    <t>Food Science and Technology, Other.</t>
  </si>
  <si>
    <t>Any instructional program in food sciences and technology not listed above.</t>
  </si>
  <si>
    <t>Plant Sciences.</t>
  </si>
  <si>
    <t>Instructional content for this group of programs is defined in codes 01.1101 - 01.1199.</t>
  </si>
  <si>
    <t>Plant Sciences, General.</t>
  </si>
  <si>
    <t>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t>
  </si>
  <si>
    <t>26.0308 - Plant Molecular Biology., 26.0307 - Plant Physiology., 26.0301 - Botany/Plant Biology., 26.0305 - Plant Pathology/Phytopathology.</t>
  </si>
  <si>
    <t>Agronomy and Crop Science.</t>
  </si>
  <si>
    <t>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t>
  </si>
  <si>
    <t>Horticultural Science.</t>
  </si>
  <si>
    <t>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t>
  </si>
  <si>
    <t>Agricultural and Horticultural Plant Breeding.</t>
  </si>
  <si>
    <t>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t>
  </si>
  <si>
    <t>26.0805 - Plant Genetics.</t>
  </si>
  <si>
    <t>Plant Protection and Integrated Pest Management.</t>
  </si>
  <si>
    <t>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t>
  </si>
  <si>
    <t>26.0702 - Entomology.</t>
  </si>
  <si>
    <t>Examples: - Pest Management, - Extermination</t>
  </si>
  <si>
    <t>Range Science and Management.</t>
  </si>
  <si>
    <t>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t>
  </si>
  <si>
    <t>Plant Sciences, Other.</t>
  </si>
  <si>
    <t>Any instructional program in plant sciences not listed above.</t>
  </si>
  <si>
    <t>Soil Sciences.</t>
  </si>
  <si>
    <t>Instructional content for this group of programs is defined in codes 01.1201 - 01.1299.</t>
  </si>
  <si>
    <t>Soil Science and Agronomy, General.</t>
  </si>
  <si>
    <t>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t>
  </si>
  <si>
    <t>Soil Chemistry and Physics.</t>
  </si>
  <si>
    <t>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t>
  </si>
  <si>
    <t>Soil Microbiology.</t>
  </si>
  <si>
    <t>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t>
  </si>
  <si>
    <t>Soil Sciences, Other.</t>
  </si>
  <si>
    <t>Any instructional program in the soil sciences not listed above.</t>
  </si>
  <si>
    <t>Examples: - Environmental Soil Science</t>
  </si>
  <si>
    <t>Agriculture/Veterinary Preparatory Programs.</t>
  </si>
  <si>
    <t>Instructional content for this group of programs is defined in codes 01.1302 - 01.1399.</t>
  </si>
  <si>
    <t>Pre-Veterinary Studies.</t>
  </si>
  <si>
    <t>A program that prepares individuals for admission to a professional program in veterinary medicine.</t>
  </si>
  <si>
    <t>Agriculture/Veterinary Preparatory Programs, Other.</t>
  </si>
  <si>
    <t>Any instructional program that prepares individuals for admission to a professional program in agriculture or veterinary medicine or science not listed above.</t>
  </si>
  <si>
    <t>Veterinary Medicine.</t>
  </si>
  <si>
    <t>Instructional content is defined in code 01.8001.</t>
  </si>
  <si>
    <t>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t>
  </si>
  <si>
    <t>Examples: - Veterinary Medicine (DVM)</t>
  </si>
  <si>
    <t>Veterinary Biomedical and Clinical Sciences.</t>
  </si>
  <si>
    <t>Instructional content for this group of programs is defined in codes 01.8101 - 01.8199.</t>
  </si>
  <si>
    <t>Veterinary Sciences/Veterinary Clinical Sciences, General.</t>
  </si>
  <si>
    <t>An integrated program of study in one or more of the veterinary medical or clinical sciences or a program undifferentiated as to title.</t>
  </si>
  <si>
    <t>Examples: - Veterinary Sciences/Veterinary Clinical Sciences, General (Cert.), - Veterinary Sciences/Veterinary Clinical Sciences, General (MS), - Veterinary Sciences/Veterinary Clinical Sciences, General (PhD)</t>
  </si>
  <si>
    <t>Comparative and Laboratory Animal Medicine.</t>
  </si>
  <si>
    <t>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t>
  </si>
  <si>
    <t>Examples: - Comparative and Laboratory Animal Medicine (Cert.), - Comparative and Laboratory Animal Medicine (MS), - Comparative and Laboratory Animal Medicine (PhD)</t>
  </si>
  <si>
    <t>Large Animal/Food Animal and Equine Surgery and Medicine.</t>
  </si>
  <si>
    <t>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t>
  </si>
  <si>
    <t>Examples: - Large Animal/Food Animal and Equine Surgery and Medicine (Cert.), - Large Animal/Food Animal and Equine Surgery and Medicine (MS), - Large Animal/Food Animal and Equine Surgery and Medicine (PhD)</t>
  </si>
  <si>
    <t>Small/Companion Animal Surgery and Medicine.</t>
  </si>
  <si>
    <t>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t>
  </si>
  <si>
    <t>Examples: - Small/Companion Animal Surgery and Medicine (Cert.), - Small/Companion Animal Surgery and Medicine (MS), - Small/Companion Animal Surgery and Medicine (PhD)</t>
  </si>
  <si>
    <t>Veterinary Anatomy.</t>
  </si>
  <si>
    <t>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t>
  </si>
  <si>
    <t>Examples: - Veterinary Anatomy (Cert.), - Veterinary Anatomy (MS), - Veterinary Anatomy (PhD)</t>
  </si>
  <si>
    <t>Veterinary Infectious Diseases.</t>
  </si>
  <si>
    <t>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t>
  </si>
  <si>
    <t>Examples: - Veterinary Infectious Diseases (Cert.), - Veterinary Infectious Diseases (MS), - Veterinary Infectious Diseases (PhD)</t>
  </si>
  <si>
    <t>Veterinary Microbiology and Immunobiology.</t>
  </si>
  <si>
    <t>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t>
  </si>
  <si>
    <t>Examples: - Veterinary Microbiology and Immunobiology (Cert.), - Veterinary Microbiology and Immunobiology (MS), - Veterinary Microbiology and Immunobiology (PhD)</t>
  </si>
  <si>
    <t>Veterinary Pathology and Pathobiology.</t>
  </si>
  <si>
    <t>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t>
  </si>
  <si>
    <t>Examples: - Veterinary Pathology and Pathobiology (Cert.), - Veterinary Pathology and Pathobiology (MS), - Veterinary Pathology and Pathobiology (PhD)</t>
  </si>
  <si>
    <t>Veterinary Physiology.</t>
  </si>
  <si>
    <t>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t>
  </si>
  <si>
    <t>Examples: - Veterinary Physiology (Cert.), - Veterinary Physiology (MS), - Veterinary Physiology (PhD)</t>
  </si>
  <si>
    <t>Veterinary Preventive Medicine, Epidemiology, and Public Health.</t>
  </si>
  <si>
    <t>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t>
  </si>
  <si>
    <t>Examples: - Veterinary Preventive Medicine, Epidemiology, and Public Health (Cert.), - Veterinary Preventive Medicine, Epidemiology, and Public Health (MS), - Veterinary Preventive Medicine, Epidemiology, and Public Health (PhD)</t>
  </si>
  <si>
    <t>Veterinary Toxicology and Pharmacology.</t>
  </si>
  <si>
    <t>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t>
  </si>
  <si>
    <t>Examples: - Veterinary Toxicology and Pharmacology (Cert.), - Veterinary Toxicology and Pharmacology (PhD), - Veterinary Toxicology and Pharmacology (MS)</t>
  </si>
  <si>
    <t>Veterinary Biomedical and Clinical Sciences, Other.</t>
  </si>
  <si>
    <t>Any instructional program in veterinary biomedical and clinical sciences not listed above.</t>
  </si>
  <si>
    <t>Examples: - Veterinary Biomedical and Clinical Sciences, Other (Cert.), - Veterinary Biomedical and Clinical Sciences, Other (MS), - Veterinary Biomedical and Clinical Sciences, Other (PhD)</t>
  </si>
  <si>
    <t>Veterinary Administrative Services.</t>
  </si>
  <si>
    <t>Instructional content for this group of programs is defined in codes 01.8201 - 01.8299.</t>
  </si>
  <si>
    <t>Veterinary Administrative Services, General.</t>
  </si>
  <si>
    <t>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t>
  </si>
  <si>
    <t>Veterinary Office Management/Administration.</t>
  </si>
  <si>
    <t>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t>
  </si>
  <si>
    <t>Examples: - Veterinary Office Administration</t>
  </si>
  <si>
    <t>Veterinary Reception/Receptionist.</t>
  </si>
  <si>
    <t>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t>
  </si>
  <si>
    <t>Examples: - Veterinary Receptionist</t>
  </si>
  <si>
    <t>Veterinary Administrative/Executive Assistant and Veterinary Secretary.</t>
  </si>
  <si>
    <t>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t>
  </si>
  <si>
    <t>Examples: - Veterinary Secretary</t>
  </si>
  <si>
    <t>Veterinary Administrative Services, Other.</t>
  </si>
  <si>
    <t>Any instructional program in veterinary administrative services not listed above.</t>
  </si>
  <si>
    <t>Veterinary/Animal Health Technologies/Technicians.</t>
  </si>
  <si>
    <t>Instructional content for this group of programs is defined in codes 01.8301 - 01.8399.</t>
  </si>
  <si>
    <t>Veterinary/Animal Health Technology/Technician and Veterinary Assistant.</t>
  </si>
  <si>
    <t>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t>
  </si>
  <si>
    <t>Veterinary/Animal Health Technologies/Technicians, Other.</t>
  </si>
  <si>
    <t>Any instructional program in veterinary or animal health technologies not listed above.</t>
  </si>
  <si>
    <t>Agricultural/Animal/Plant/Veterinary Science and Related Fields, Other.</t>
  </si>
  <si>
    <t>Instructional content is defined in code 01.9999.</t>
  </si>
  <si>
    <t>Any instructional program in agricultural, animal, plant, or veterinary science and related fields not listed above.</t>
  </si>
  <si>
    <t>NATURAL RESOURCES AND CONSERVATION.</t>
  </si>
  <si>
    <t>Instructional programs that focus on the various natural resources and conservation fields and prepare individuals for related occupations.</t>
  </si>
  <si>
    <t>Natural Resources Conservation and Research.</t>
  </si>
  <si>
    <t>Instructional content for this group of programs is defined in codes 03.0101 - 03.0199.</t>
  </si>
  <si>
    <t>Natural Resources/Conservation, General.</t>
  </si>
  <si>
    <t>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t>
  </si>
  <si>
    <t>26.1307 - Conservation Biology.</t>
  </si>
  <si>
    <t>Environmental Studies.</t>
  </si>
  <si>
    <t>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t>
  </si>
  <si>
    <t>14.1401 - Environmental/Environmental Health Engineering., 30.4401 - Geography and Environmental Studies.</t>
  </si>
  <si>
    <t>Examples: - Ecosystem Studies</t>
  </si>
  <si>
    <t>Environmental Science.</t>
  </si>
  <si>
    <t>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t>
  </si>
  <si>
    <t>26.1305 - Environmental Biology., 26.1307 - Conservation Biology., 14.1401 - Environmental/Environmental Health Engineering.</t>
  </si>
  <si>
    <t>Examples: - Bioenvironmental Sciences</t>
  </si>
  <si>
    <t>Natural Resources Conservation and Research, Other.</t>
  </si>
  <si>
    <t>Any instructional program in natural resources conservation and research not listed above.</t>
  </si>
  <si>
    <t>Examples: - Environmental Conservation and Reclamation</t>
  </si>
  <si>
    <t>Environmental/Natural Resources Management and Policy.</t>
  </si>
  <si>
    <t>Instructional content for this group of programs is defined in codes 03.0201 - 03.0299.</t>
  </si>
  <si>
    <t>Environmental/Natural Resources Management and Policy, General.</t>
  </si>
  <si>
    <t>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t>
  </si>
  <si>
    <t>Examples: - Ecosystem Management, - Environmental Policy and Decision Making</t>
  </si>
  <si>
    <t>Environmental/Natural Resource Economics.</t>
  </si>
  <si>
    <t>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t>
  </si>
  <si>
    <t>01.0103 - Agricultural Economics.</t>
  </si>
  <si>
    <t>Examples: - Environmental Economics and Policy</t>
  </si>
  <si>
    <t>Water, Wetlands, and Marine Resources Management.</t>
  </si>
  <si>
    <t>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t>
  </si>
  <si>
    <t>26.1304 - Aquatic Biology/Limnology., 40.0605 - Hydrology and Water Resources Science., 14.0805 - Water Resources Engineering.</t>
  </si>
  <si>
    <t>Land Use Planning and Management/Development.</t>
  </si>
  <si>
    <t>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t>
  </si>
  <si>
    <t>04.0601 - Landscape Architecture., 31.0301 - Parks, Recreation, and Leisure Facilities Management, General.</t>
  </si>
  <si>
    <t>Environmental/Natural Resource Recreation and Tourism.</t>
  </si>
  <si>
    <t>A program that prepares individuals to plan, develop, and manage tourism in a natural resource setting, with an emphasis on applying environmentally sound, culturally sensitive, and economically sustainable principles. Includes instruction in environmental studies; natural resource management and interpretation; tourism planning, management, and policies; public land use management and policies; communications; marketing; and public relations.</t>
  </si>
  <si>
    <t>31.0301 - Parks, Recreation, and Leisure Facilities Management, General.</t>
  </si>
  <si>
    <t>Examples: - Ecotourism, - Resource Recreation and Tourism, - Nature-Based Tourism, - Natural Resources Interpretation, - Hunting and Fishing Guide</t>
  </si>
  <si>
    <t>Environmental/Natural Resources Law Enforcement and Protective Services.</t>
  </si>
  <si>
    <t>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t>
  </si>
  <si>
    <t>Examples: - Conservation Enforcement</t>
  </si>
  <si>
    <t>Energy and Environmental Policy.</t>
  </si>
  <si>
    <t>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t>
  </si>
  <si>
    <t>Bioenergy.</t>
  </si>
  <si>
    <t>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t>
  </si>
  <si>
    <t>Environmental/Natural Resources Management and Policy, Other.</t>
  </si>
  <si>
    <t>Any instructional program in environmental or natural resources management and policy not listed above.</t>
  </si>
  <si>
    <t>Fishing and Fisheries Sciences and Management.</t>
  </si>
  <si>
    <t>Instructional content is defined in code 03.0301.</t>
  </si>
  <si>
    <t>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t>
  </si>
  <si>
    <t>26.1302 - Marine Biology and Biological Oceanography., 49.0303 - Commercial Fishing.</t>
  </si>
  <si>
    <t>Forestry.</t>
  </si>
  <si>
    <t>Instructional content for this group of programs is defined in codes 03.0501 - 03.0599.</t>
  </si>
  <si>
    <t>Forestry, General.</t>
  </si>
  <si>
    <t>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t>
  </si>
  <si>
    <t>14.3401 - Forest Engineering.</t>
  </si>
  <si>
    <t>Forest Sciences and Biology.</t>
  </si>
  <si>
    <t>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t>
  </si>
  <si>
    <t>Forest Management/Forest Resources Management.</t>
  </si>
  <si>
    <t>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t>
  </si>
  <si>
    <t>Examples: - Silviculture, - Sylviculture</t>
  </si>
  <si>
    <t>Urban Forestry.</t>
  </si>
  <si>
    <t>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t>
  </si>
  <si>
    <t>Examples: - Arboriculture</t>
  </si>
  <si>
    <t>Wood Science and Wood Products/Pulp and Paper Technology/Technician.</t>
  </si>
  <si>
    <t>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t>
  </si>
  <si>
    <t>14.4001 - Paper Science and Engineering.</t>
  </si>
  <si>
    <t>Forest Resources Production and Management.</t>
  </si>
  <si>
    <t>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t>
  </si>
  <si>
    <t>Forest Technology/Technician.</t>
  </si>
  <si>
    <t>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t>
  </si>
  <si>
    <t>Forestry, Other.</t>
  </si>
  <si>
    <t>Any program in forestry not listed above.</t>
  </si>
  <si>
    <t>Wildlife and Wildlands Science and Management.</t>
  </si>
  <si>
    <t>Instructional content is defined in code 03.0601.</t>
  </si>
  <si>
    <t>Wildlife, Fish and Wildlands Science and Management.</t>
  </si>
  <si>
    <t>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t>
  </si>
  <si>
    <t>26.0709 - Wildlife Biology.</t>
  </si>
  <si>
    <t>Natural Resources and Conservation, Other.</t>
  </si>
  <si>
    <t>Instructional content is defined in code 03.9999.</t>
  </si>
  <si>
    <t>Any instructional program in natural resources and conservation not listed above.</t>
  </si>
  <si>
    <t>Examples: - Hunting and Trapping</t>
  </si>
  <si>
    <t>ARCHITECTURE AND RELATED SERVICES.</t>
  </si>
  <si>
    <t>Instructional programs that prepare individuals for professional practice in the various architecture-related fields and focus on the study of related aesthetic and socioeconomic aspects of the built environment.</t>
  </si>
  <si>
    <t>Architecture.</t>
  </si>
  <si>
    <t>Instructional content for this group of programs is defined in codes 04.0200 - 04.0299.</t>
  </si>
  <si>
    <t>Pre-Architecture Studies.</t>
  </si>
  <si>
    <t>A program of study that is a precursor to an advanced degree in architecture. Includes instruction in architectural design, architectural graphics, architectural history, architectural technology, architectural theory and criticism, building technology, calculus, design studio, human factors, environmental architecture, geometry and trigonometry, physics, and technical drawing.</t>
  </si>
  <si>
    <t>Examples: - Pre-Architecture</t>
  </si>
  <si>
    <t>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t>
  </si>
  <si>
    <t>15.1303 - Architectural Drafting and Architectural CAD/CADD., 14.0401 - Architectural Engineering.</t>
  </si>
  <si>
    <t>Examples: - Architecture (BArch, BA/BS), - Architecture (MArch/MA/MS), - Architecture (PhD)</t>
  </si>
  <si>
    <t>Architectural Design.</t>
  </si>
  <si>
    <t>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t>
  </si>
  <si>
    <t>Architecture, Other.</t>
  </si>
  <si>
    <t>Any instructional program in architecture not listed above.</t>
  </si>
  <si>
    <t>City/Urban, Community, and Regional Planning.</t>
  </si>
  <si>
    <t>Instructional content is defined in code 04.0301.</t>
  </si>
  <si>
    <t>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t>
  </si>
  <si>
    <t>45.1201 - Urban Studies/Affairs.</t>
  </si>
  <si>
    <t>Examples: - Urban Design</t>
  </si>
  <si>
    <t>Environmental Design.</t>
  </si>
  <si>
    <t>Instructional content for this group of programs is defined in codes 04.0401 - 04.0499.</t>
  </si>
  <si>
    <t>Environmental Design/Architecture.</t>
  </si>
  <si>
    <t>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t>
  </si>
  <si>
    <t>19.0601 - Housing and Human Environments, General.</t>
  </si>
  <si>
    <t>Healthcare Environment Design/Architecture.</t>
  </si>
  <si>
    <t>A program that focuses on the design and performance of healthcare environments to optimize healing. Includes instruction in interior design, architecture, healing sciences, healthcare environments, human-centered design, and healthcare delivery.</t>
  </si>
  <si>
    <t>30.3701 - Design for Human Health.</t>
  </si>
  <si>
    <t>Sustainable Design/Architecture.</t>
  </si>
  <si>
    <t>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t>
  </si>
  <si>
    <t>Environmental Design, Other.</t>
  </si>
  <si>
    <t>Any instructional program in environmental design not listed above.</t>
  </si>
  <si>
    <t>Interior Architecture.</t>
  </si>
  <si>
    <t>Instructional content is defined in code 04.0501.</t>
  </si>
  <si>
    <t>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t>
  </si>
  <si>
    <t>50.0408 - Interior Design.</t>
  </si>
  <si>
    <t>Landscape Architecture.</t>
  </si>
  <si>
    <t>Instructional content is defined in code 04.0601.</t>
  </si>
  <si>
    <t>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t>
  </si>
  <si>
    <t>01.0605 - Landscaping and Groundskeeping., 03.0206 - Land Use Planning and Management/Development.</t>
  </si>
  <si>
    <t>Examples: - Landscape Architecture (BS, BSLA, BLA), - Landscape Architecture (MSLA, MLA), - Landscape Architecture (PhD)</t>
  </si>
  <si>
    <t>Architectural History, Criticism, and Conservation.</t>
  </si>
  <si>
    <t>Instructional content for this group of programs is defined in codes 04.0801 - 04.0899.</t>
  </si>
  <si>
    <t>Architectural History and Criticism, General.</t>
  </si>
  <si>
    <t>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t>
  </si>
  <si>
    <t>Architectural Conservation.</t>
  </si>
  <si>
    <t>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t>
  </si>
  <si>
    <t>30.1201 - Historic Preservation and Conservation, General.</t>
  </si>
  <si>
    <t>Architectural Studies.</t>
  </si>
  <si>
    <t>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t>
  </si>
  <si>
    <t>Architectural History, Criticism, and Conservation, Other.</t>
  </si>
  <si>
    <t>Any instructional program in architectural history, criticism, and conservation not listed above.</t>
  </si>
  <si>
    <t>Architectural Sciences and Technology.</t>
  </si>
  <si>
    <t>Instructional content for this group of programs is defined in codes 04.0901 - 04.0999.</t>
  </si>
  <si>
    <t>Architectural Technology/Technician.</t>
  </si>
  <si>
    <t>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t>
  </si>
  <si>
    <t>15.1303 - Architectural Drafting and Architectural CAD/CADD.</t>
  </si>
  <si>
    <t>Architectural and Building Sciences/Technology.</t>
  </si>
  <si>
    <t>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t>
  </si>
  <si>
    <t>Examples: - Architectural and Building Sciences/Technology (BArch, BA/BS), - Architectural and Building Sciences/Technology (MArch/MA/MS), - Architectural and Building Sciences/Technology (PhD)</t>
  </si>
  <si>
    <t>Architectural Sciences and Technology, Other.</t>
  </si>
  <si>
    <t>Any instructional program in architectural sciences and technology not listed above.</t>
  </si>
  <si>
    <t>Real Estate Development.</t>
  </si>
  <si>
    <t>Instructional content is defined in code 04.1001.</t>
  </si>
  <si>
    <t>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t>
  </si>
  <si>
    <t>52.1501 - Real Estate.</t>
  </si>
  <si>
    <t>Architecture and Related Services, Other.</t>
  </si>
  <si>
    <t>Instructional content is defined in code 04.9999.</t>
  </si>
  <si>
    <t>Any instructional program in architecture and related programs not listed above.</t>
  </si>
  <si>
    <t>AREA, ETHNIC, CULTURAL, GENDER, AND GROUP STUDIES.</t>
  </si>
  <si>
    <t>Instructional programs that focus on the defined areas, regions, and countries of the world; defined minority groups within and across societies; and issues relevant to collective gender and group experience.</t>
  </si>
  <si>
    <t>Area Studies.</t>
  </si>
  <si>
    <t>Instructional content for this group of programs is defined in codes 05.0101 - 05.0199.</t>
  </si>
  <si>
    <t>African Studies.</t>
  </si>
  <si>
    <t>A program that focuses on the history, society, politics, culture, and economics of one or more of the peoples of the African Continent, usually with an emphasis on Africa south of the Sahara, and including the African diasporas overseas.</t>
  </si>
  <si>
    <t>05.0201 - African-American/Black Studies.</t>
  </si>
  <si>
    <t>American/United States Studies/Civilization.</t>
  </si>
  <si>
    <t>A program that focuses on the history, society, politics, culture, and economics of the United States and its Pre-Columbian and colonial predecessors, and including the flow of immigrants from other societies.</t>
  </si>
  <si>
    <t>Asian Studies/Civilization.</t>
  </si>
  <si>
    <t>A program that focuses on the history, society, politics, culture, and economics of one or more of the peoples of the Asian Continent, including the study of the Asian diasporas overseas.</t>
  </si>
  <si>
    <t>05.0206 - Asian-American Studies.</t>
  </si>
  <si>
    <t>East Asian Studies.</t>
  </si>
  <si>
    <t>A program that focuses on the history, society, politics, culture, and economics of one or more of the peoples of East Asia, defined as including China, Korea, Japan, Mongolia, Taiwan, Tibet, related borderlands and island groups, and including the study of the East Asian diasporas overseas.</t>
  </si>
  <si>
    <t>Russian, Central European, East European and Eurasian Studies.</t>
  </si>
  <si>
    <t>A program that focuses on the history, society, politics, culture, and economics of the region encompassing Russia, Central Europe, Eastern Europe, and Eurasia, including the Balkan, Baltic, Caucasus, and Central Asian states that were republics of the former Soviet Union.</t>
  </si>
  <si>
    <t>05.0110 - Russian Studies.</t>
  </si>
  <si>
    <t>Examples: - Russian and East European Studies, - Central and Eastern European Studies, - CIS Studies</t>
  </si>
  <si>
    <t>European Studies/Civilization.</t>
  </si>
  <si>
    <t>A program that focuses on the history, society, politics, culture, and economics of one or more of the peoples of the European Continent, including the study of European migration patterns and colonial empires.</t>
  </si>
  <si>
    <t>Latin American Studies.</t>
  </si>
  <si>
    <t>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t>
  </si>
  <si>
    <t>05.0203 - Hispanic-American, Puerto Rican, and Mexican-American/Chicano Studies.</t>
  </si>
  <si>
    <t>Near and Middle Eastern Studies.</t>
  </si>
  <si>
    <t>A program that focuses on the history, society, politics, culture, and economics of one or more of the peoples of North Africa, Southwestern Asia, Asia Minor, and the Arabian Peninsula, related borderlands and island groups, and including emigrant and immigrant groups.</t>
  </si>
  <si>
    <t>30.2202 - Classical, Ancient Mediterranean, and Near Eastern Studies and Archaeology.</t>
  </si>
  <si>
    <t>Examples: - Modern Middle Eastern Studies</t>
  </si>
  <si>
    <t>Pacific Area/Pacific Rim Studies.</t>
  </si>
  <si>
    <t>A program that focuses on the history, society, politics, culture, and economics of one or more of the peoples of Australasia and the Pacific Ocean, related island groups and bordering coastal regions, and including pre- and post-colonial migration patterns.</t>
  </si>
  <si>
    <t>Russian Studies.</t>
  </si>
  <si>
    <t>A program that focuses on the history, society, politics, culture, and economics of one or more of the peoples of the Russian Federation and its Soviet, Czarist, and medieval predecessors and related borderlands.</t>
  </si>
  <si>
    <t>05.0105 - Russian, Central European, East European and Eurasian Studies.</t>
  </si>
  <si>
    <t>Scandinavian Studies.</t>
  </si>
  <si>
    <t>A program that focuses on the history, society, politics, culture, and economics of one or more of the peoples of Scandinavia, defined as Northern Europe including Denmark, Finland, Iceland, Norway, Sweden, and related island groups (e.g., Greenland) and borderlands.</t>
  </si>
  <si>
    <t>South Asian Studies.</t>
  </si>
  <si>
    <t>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t>
  </si>
  <si>
    <t>Examples: - Indian/South Asian Studies</t>
  </si>
  <si>
    <t>Southeast Asian Studies.</t>
  </si>
  <si>
    <t>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t>
  </si>
  <si>
    <t>Western European Studies.</t>
  </si>
  <si>
    <t>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t>
  </si>
  <si>
    <t>Canadian Studies.</t>
  </si>
  <si>
    <t>A program that focuses on the history, society, politics, culture, and economics of one or more of the peoples of Canada and its Pre-Columbian, colonial, and pre-federation predecessors, including immigrant flows and related borderlands and island groups.</t>
  </si>
  <si>
    <t>Balkans Studies.</t>
  </si>
  <si>
    <t>A program that focuses on the history, society, politics, culture, and economics of one or more of the peoples inhabiting the Balkan Peninsula and associated island groups and borderlands, Southern Slavic and non-Slavic, during the medieval, Ottoman, and modern periods.</t>
  </si>
  <si>
    <t>Baltic Studies.</t>
  </si>
  <si>
    <t>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t>
  </si>
  <si>
    <t>Slavic Studies.</t>
  </si>
  <si>
    <t>A program that focuses on the history, society, politics, culture, and economics of one or more of the Slavic peoples inhabiting Europe, Asia, and in immigrant groups elsewhere, including the study of the emergence and migration patterns of Slavic culture, languages, and populations.</t>
  </si>
  <si>
    <t>Caribbean Studies.</t>
  </si>
  <si>
    <t>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t>
  </si>
  <si>
    <t>Ural-Altaic and Central Asian Studies.</t>
  </si>
  <si>
    <t>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t>
  </si>
  <si>
    <t>Commonwealth Studies.</t>
  </si>
  <si>
    <t>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t>
  </si>
  <si>
    <t>Regional Studies (U.S., Canadian, Foreign).</t>
  </si>
  <si>
    <t>A program that focuses on the defined geographic subregions and subcultures within modern and historical countries and societies. Includes such topics as Acadian Studies, French Canadian and Quebec Studies, Southern (U.S.) Studies, New England Studies, Southwestern Studies, Northern Studies, and others.</t>
  </si>
  <si>
    <t>Chinese Studies.</t>
  </si>
  <si>
    <t>A program that focuses on the history, society, politics, culture, and economics of one or more of the peoples of present-day China and its historical predecessors, related borderlands and island groups, and the overseas Chinese diaspora.</t>
  </si>
  <si>
    <t>French Studies.</t>
  </si>
  <si>
    <t>A program that focuses on the history, society, politics, culture, and economics of France, other Francophone countries inside and outside Europe, and the French colonial experience and the associated French minorities around the world.</t>
  </si>
  <si>
    <t>German Studies.</t>
  </si>
  <si>
    <t>A program that focuses on the history, society, politics, culture, and economics of Germany, the neighboring countries of Austria and Switzerland, the German minorities in neighboring European countries, and the historical areas of German influence across Europe and overseas.</t>
  </si>
  <si>
    <t>Italian Studies.</t>
  </si>
  <si>
    <t>A program that focuses on the history, society, politics, culture, and economics of modern Italy and its predecessors on the Italian Peninsula, including the overseas migrations of Italian peoples.</t>
  </si>
  <si>
    <t>Japanese Studies.</t>
  </si>
  <si>
    <t>A program that focuses on the history, society, politics, culture, and economics of the peoples of Japan, and related island groups and coastal neighbors.</t>
  </si>
  <si>
    <t>Korean Studies.</t>
  </si>
  <si>
    <t>A program that focuses on the history, society, politics, culture, and economics of the peoples of Korea, including related island groups and borderlands.</t>
  </si>
  <si>
    <t>Polish Studies.</t>
  </si>
  <si>
    <t>A program that focuses on the history, society, politics, culture, and economics of Poland and the current and historical inhabitants of the Polish lands, including borderlands, from earliest times to the present.</t>
  </si>
  <si>
    <t>Spanish and Iberian Studies.</t>
  </si>
  <si>
    <t>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t>
  </si>
  <si>
    <t>Tibetan Studies.</t>
  </si>
  <si>
    <t>A program that focuses on the history, society, politics, culture, and economics of Tibet and its borderlands, with emphasis on both pre-modern and modern Tibet and associated religious and exile movements.</t>
  </si>
  <si>
    <t>Ukraine Studies.</t>
  </si>
  <si>
    <t>A program that focuses on the history, society, politics, culture, and economics of the Ukraine and its inhabitants, and related border regions, from earliest times to the present.</t>
  </si>
  <si>
    <t>Irish Studies.</t>
  </si>
  <si>
    <t>A program that focuses on the history, society, politics, culture, and economics of Ireland and the Irish Diaspora, from the early Christian period to the present.</t>
  </si>
  <si>
    <t>Latin American and Caribbean Studies.</t>
  </si>
  <si>
    <t>An integrated program that focuses on the history, society, politics, culture, and economics of the peoples and countries of the Latin American and Caribbean region.</t>
  </si>
  <si>
    <t>05.0107 - Latin American Studies., 05.0119 - Caribbean Studies.</t>
  </si>
  <si>
    <t>Appalachian Studies.</t>
  </si>
  <si>
    <t>A program of study that focuses on the history, sociology, culture, and economics of the Appalachian region of the United States. Includes instruction in contemporary issues in Appalachia, political economy of Appalachia, community-based research, ethnomusicology, and oral and written languages of Appalachia.</t>
  </si>
  <si>
    <t>Arctic Studies.</t>
  </si>
  <si>
    <t>A program that focuses on the history, society, politics, culture, and economics of the Arctic region.</t>
  </si>
  <si>
    <t>Area Studies, Other.</t>
  </si>
  <si>
    <t>Any instructional program in specifically defined area studies not listed above.</t>
  </si>
  <si>
    <t>Ethnic, Cultural Minority, Gender, and Group Studies.</t>
  </si>
  <si>
    <t>Instructional content for this group of programs is defined in codes 05.0200 - 05.0299.</t>
  </si>
  <si>
    <t>Ethnic Studies.</t>
  </si>
  <si>
    <t>A program that focuses on the interdisciplinary and comparative study of the history, sociology, politics, culture, and economics of North American racial and ethnic groups, including African Americans, American Indians/Native Americans, Hispanic Americans, and Asian Americans.</t>
  </si>
  <si>
    <t>30.2301 - Intercultural/Multicultural and Diversity Studies., 30.3601 - Cultural Studies and Comparative Literature.</t>
  </si>
  <si>
    <t>African-American/Black Studies.</t>
  </si>
  <si>
    <t>A program that focuses on the history, sociology, politics, culture, and economics of the North American peoples descended from the African diaspora; focusing on the United States, Canada, and the Caribbean, but also including reference to Latin American elements of the diaspora.</t>
  </si>
  <si>
    <t>05.0101 - African Studies.</t>
  </si>
  <si>
    <t>American Indian/Native American Studies.</t>
  </si>
  <si>
    <t>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t>
  </si>
  <si>
    <t>Hispanic-American, Puerto Rican, and Mexican-American/Chicano Studies.</t>
  </si>
  <si>
    <t>A program that focuses on the history, sociology, politics, culture, and economics of one or more of the Hispanic American immigrant populations within the U.S. and Canada, including Mexican-American Studies, Cuban American Studies, Puerto Rican Studies, and others.</t>
  </si>
  <si>
    <t>05.0107 - Latin American Studies.</t>
  </si>
  <si>
    <t>Asian-American Studies.</t>
  </si>
  <si>
    <t>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t>
  </si>
  <si>
    <t>05.0103 - Asian Studies/Civilization.</t>
  </si>
  <si>
    <t>Women's Studies.</t>
  </si>
  <si>
    <t>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t>
  </si>
  <si>
    <t>Examples: - Women's and Gender Studies</t>
  </si>
  <si>
    <t>Gay/Lesbian Studies.</t>
  </si>
  <si>
    <t>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t>
  </si>
  <si>
    <t>Folklore Studies.</t>
  </si>
  <si>
    <t>A program that focuses on the study of creativity and aesthetic expression in everyday life, as expressed in narrative, literature, performing arts, culture, work, family and community.</t>
  </si>
  <si>
    <t>Examples: - Folklore Studies, - Folklore and Mythology, - Folklore and Folklife</t>
  </si>
  <si>
    <t>Disability Studies.</t>
  </si>
  <si>
    <t>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t>
  </si>
  <si>
    <t>Deaf Studies.</t>
  </si>
  <si>
    <t>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t>
  </si>
  <si>
    <t>16.1601 - American Sign Language (ASL).</t>
  </si>
  <si>
    <t>Examples: - Deaf Studies, - American Sign Language (ASL) and Deaf Studies</t>
  </si>
  <si>
    <t>Comparative Group Studies.</t>
  </si>
  <si>
    <t>A program that focuses on the comparative study of the history, literature, sociology, politics, culture, and economics of different groups such as racial, gender, sexual, class, ethnic, geographical, and national. Includes instruction in comparative studies, comparative literature, critical race theory, cultural anthropology, cultural studies, religious studies, science studies, social and cultural theory, urban studies, and visual culture.</t>
  </si>
  <si>
    <t>30.2601 - Cultural Studies/Critical Theory and Analysis.</t>
  </si>
  <si>
    <t>Ethnic, Cultural Minority, Gender, and Group Studies, Other.</t>
  </si>
  <si>
    <t>Any instructional program in ethnic, cultural minority, gender, and group studies not listed above.</t>
  </si>
  <si>
    <t>Examples: - Women's, Gay and Lesbian Studies, Integrated</t>
  </si>
  <si>
    <t>Area, Ethnic, Cultural, Gender, and Group Studies, Other.</t>
  </si>
  <si>
    <t>Instructional content is defined in code 05.9999.</t>
  </si>
  <si>
    <t>Any instructional program in area, ethnic, cultural, gender, or group studies not listed above.</t>
  </si>
  <si>
    <t>COMMUNICATION, JOURNALISM, AND RELATED PROGRAMS.</t>
  </si>
  <si>
    <t>Instructional programs that focus on how messages in various media are produced, used, and interpreted within and across different contexts, channels, and cultures, and that prepare individuals to apply communication knowledge and skills professionally.</t>
  </si>
  <si>
    <t>Communication and Media Studies.</t>
  </si>
  <si>
    <t>Instructional content for this group of programs is defined in codes 09.0100 - 09.0199.</t>
  </si>
  <si>
    <t>Communication, General.</t>
  </si>
  <si>
    <t>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t>
  </si>
  <si>
    <t>Examples: - Communication Sciences, - Communication</t>
  </si>
  <si>
    <t>Speech Communication and Rhetoric.</t>
  </si>
  <si>
    <t>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t>
  </si>
  <si>
    <t>23.1304 - Rhetoric and Composition.</t>
  </si>
  <si>
    <t>Mass Communication/Media Studies.</t>
  </si>
  <si>
    <t>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t>
  </si>
  <si>
    <t>Examples: - Media Studies</t>
  </si>
  <si>
    <t>Communication and Media Studies, Other.</t>
  </si>
  <si>
    <t>Any instructional program in communication and media studies not listed above.</t>
  </si>
  <si>
    <t>Journalism.</t>
  </si>
  <si>
    <t>Instructional content for this group of programs is defined in codes 09.0401 - 09.0499.</t>
  </si>
  <si>
    <t>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t>
  </si>
  <si>
    <t>Broadcast Journalism.</t>
  </si>
  <si>
    <t>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t>
  </si>
  <si>
    <t>Photojournalism.</t>
  </si>
  <si>
    <t>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t>
  </si>
  <si>
    <t>50.0605 - Photography.</t>
  </si>
  <si>
    <t>Business and Economic Journalism.</t>
  </si>
  <si>
    <t>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t>
  </si>
  <si>
    <t>Cultural Journalism.</t>
  </si>
  <si>
    <t>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t>
  </si>
  <si>
    <t>Science/Health/Environmental Journalism.</t>
  </si>
  <si>
    <t>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t>
  </si>
  <si>
    <t>01.0802 - Agricultural Communication/Journalism.</t>
  </si>
  <si>
    <t>Journalism, Other.</t>
  </si>
  <si>
    <t>Any instructional program in journalism not listed above.</t>
  </si>
  <si>
    <t>Examples: - Online Journalism</t>
  </si>
  <si>
    <t>Radio, Television, and Digital Communication.</t>
  </si>
  <si>
    <t>Instructional content for this group of programs is defined in codes 09.0701 - 09.0799.</t>
  </si>
  <si>
    <t>Radio and Television.</t>
  </si>
  <si>
    <t>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t>
  </si>
  <si>
    <t>Examples: - Radio, Television, and Film</t>
  </si>
  <si>
    <t>Digital Communication and Media/Multimedia.</t>
  </si>
  <si>
    <t>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t>
  </si>
  <si>
    <t>50.0102 - Digital Arts.</t>
  </si>
  <si>
    <t>Examples: - Digital Media</t>
  </si>
  <si>
    <t>Radio, Television, and Digital Communication, Other.</t>
  </si>
  <si>
    <t>Any instructional program in radio, television, and digital communications not listed above.</t>
  </si>
  <si>
    <t>Public Relations, Advertising, and Applied Communication.</t>
  </si>
  <si>
    <t>Instructional content for this group of programs is defined in codes 09.0900 - 09.0999.</t>
  </si>
  <si>
    <t>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t>
  </si>
  <si>
    <t>09.0903 - Advertising., 09.0902 - Public Relations/Image Management.</t>
  </si>
  <si>
    <t>Examples: - Public Relations and Advertising, - Applied Communication</t>
  </si>
  <si>
    <t>Organizational Communication, General.</t>
  </si>
  <si>
    <t>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t>
  </si>
  <si>
    <t>52.1003 - Organizational Behavior Studies.</t>
  </si>
  <si>
    <t>Public Relations/Image Management.</t>
  </si>
  <si>
    <t>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t>
  </si>
  <si>
    <t>09.0900 - Public Relations, Advertising, and Applied Communication.</t>
  </si>
  <si>
    <t>Examples: - Social Media Management</t>
  </si>
  <si>
    <t>Advertising.</t>
  </si>
  <si>
    <t>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t>
  </si>
  <si>
    <t>50.0402 - Commercial and Advertising Art., 09.0900 - Public Relations, Advertising, and Applied Communication.</t>
  </si>
  <si>
    <t>Political Communication.</t>
  </si>
  <si>
    <t>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t>
  </si>
  <si>
    <t>Health Communication.</t>
  </si>
  <si>
    <t>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t>
  </si>
  <si>
    <t>Examples: - Health and Health Science Communication</t>
  </si>
  <si>
    <t>Sports Communication.</t>
  </si>
  <si>
    <t>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t>
  </si>
  <si>
    <t>31.0504 - Sport and Fitness Administration/Management., 31.0508 - Sports Studies.</t>
  </si>
  <si>
    <t>International and Intercultural Communication.</t>
  </si>
  <si>
    <t>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t>
  </si>
  <si>
    <t>30.2301 - Intercultural/Multicultural and Diversity Studies.</t>
  </si>
  <si>
    <t>Technical and Scientific Communication.</t>
  </si>
  <si>
    <t>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t>
  </si>
  <si>
    <t>23.1303 - Professional, Technical, Business, and Scientific Writing.</t>
  </si>
  <si>
    <t>Examples: - Technical Communication, - Scientific Communication</t>
  </si>
  <si>
    <t>Communication Management and Strategic Communications.</t>
  </si>
  <si>
    <t>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t>
  </si>
  <si>
    <t>Public Relations, Advertising, and Applied Communication, Other.</t>
  </si>
  <si>
    <t>Any instructional program in organizational communication, public relations, and advertising not listed above.</t>
  </si>
  <si>
    <t>Publishing.</t>
  </si>
  <si>
    <t>Instructional content is defined in code 09.1001.</t>
  </si>
  <si>
    <t>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t>
  </si>
  <si>
    <t>Communication, Journalism, and Related Programs, Other.</t>
  </si>
  <si>
    <t>Instructional content is defined in code 09.9999.</t>
  </si>
  <si>
    <t>Any instructional program in communication, journalism, and related fields not listed above.</t>
  </si>
  <si>
    <t>COMMUNICATIONS TECHNOLOGIES/TECHNICIANS AND SUPPORT SERVICES.</t>
  </si>
  <si>
    <t>Instructional programs that prepare individuals to function as equipment operators, support technicians, and operations managers in the film/video, recording, and graphic communications industries.</t>
  </si>
  <si>
    <t>Communications Technologies/Technicians.</t>
  </si>
  <si>
    <t>Instructional content is defined in code 10.0105.</t>
  </si>
  <si>
    <t>Communications Technology/Technician.</t>
  </si>
  <si>
    <t>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t>
  </si>
  <si>
    <t>Audiovisual Communications Technologies/Technicians.</t>
  </si>
  <si>
    <t>Instructional content for this group of programs is defined in codes 10.0201 - 10.0299.</t>
  </si>
  <si>
    <t>Photographic and Film/Video Technology/Technician.</t>
  </si>
  <si>
    <t>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t>
  </si>
  <si>
    <t>Examples: - Photographic and Film/Video Assistant</t>
  </si>
  <si>
    <t>Radio and Television Broadcasting Technology/Technician.</t>
  </si>
  <si>
    <t>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t>
  </si>
  <si>
    <t>Recording Arts Technology/Technician.</t>
  </si>
  <si>
    <t>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t>
  </si>
  <si>
    <t>50.0913 - Music Technology., 50.0917 - Sound Arts.</t>
  </si>
  <si>
    <t>Voice Writing Technology/Technician.</t>
  </si>
  <si>
    <t>A program that prepares individuals to apply technical knowledge and skills to use voice writing computer software and speak a verbal shorthand language to create transcripts and screen captioning of live or recorded events intended for the public or a specific audience in a variety of media (e.g., digital, film, print, television) as well as for conferences, conversations, interviews, and meetings. Includes instruction in screen captioning, speed building, spoken shorthand, transcription, and voice input writing.</t>
  </si>
  <si>
    <t>22.0303 - Court Reporting and Captioning/Court Reporter., 51.0708 - Medical Transcription/Transcriptionist.</t>
  </si>
  <si>
    <t>Audiovisual Communications Technologies/Technicians, Other.</t>
  </si>
  <si>
    <t>Any instructional program in audiovisual communications technologies not listed above.</t>
  </si>
  <si>
    <t>Examples: - Broadcast Captioning</t>
  </si>
  <si>
    <t>Graphic Communications.</t>
  </si>
  <si>
    <t>Instructional content for this group of programs is defined in codes 10.0301 - 10.0399.</t>
  </si>
  <si>
    <t>Graphic Communications, General.</t>
  </si>
  <si>
    <t>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t>
  </si>
  <si>
    <t>50.0409 - Graphic Design., 50.0402 - Commercial and Advertising Art.</t>
  </si>
  <si>
    <t>Printing Management.</t>
  </si>
  <si>
    <t>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t>
  </si>
  <si>
    <t>Prepress/Desktop Publishing and Digital Imaging Design.</t>
  </si>
  <si>
    <t>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t>
  </si>
  <si>
    <t>Animation, Interactive Technology, Video Graphics, and Special Effects.</t>
  </si>
  <si>
    <t>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t>
  </si>
  <si>
    <t>Graphic and Printing Equipment Operator, General Production.</t>
  </si>
  <si>
    <t>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t>
  </si>
  <si>
    <t>Platemaker/Imager.</t>
  </si>
  <si>
    <t>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t>
  </si>
  <si>
    <t>Printing Press Operator.</t>
  </si>
  <si>
    <t>A program that prepares individuals to apply technical knowledge and skills to set up, operate, and maintain printing presses.</t>
  </si>
  <si>
    <t>Computer Typography and Composition Equipment Operator.</t>
  </si>
  <si>
    <t>A program that prepares individuals to apply technical knowledge and skills to design and execute page formats, layouts and text composition, and to make typographical selections using computer graphics and other computer-assisted design programs.</t>
  </si>
  <si>
    <t>Graphic Communications, Other.</t>
  </si>
  <si>
    <t>Any instructional program in graphic communications not listed above.</t>
  </si>
  <si>
    <t>Communications Technologies/Technicians and Support Services, Other.</t>
  </si>
  <si>
    <t>Instructional content is defined in code 10.9999.</t>
  </si>
  <si>
    <t>Any instructional program in communications technologies and support services not listed above.</t>
  </si>
  <si>
    <t>COMPUTER AND INFORMATION SCIENCES AND SUPPORT SERVICES.</t>
  </si>
  <si>
    <t>Instructional programs that focus on the computer and information sciences and prepare individuals for various occupations in information technology and computer operations fields.</t>
  </si>
  <si>
    <t>Computer and Information Sciences, General.</t>
  </si>
  <si>
    <t>Instructional content for this group of programs is defined in codes 11.0101 - 11.0199.</t>
  </si>
  <si>
    <t>A general program that focuses on computing, computer science, and information science and systems. Such programs are undifferentiated as to title and content and are not to be confused with specific programs in computer science, information science, or related support services.</t>
  </si>
  <si>
    <t>Artificial Intelligence.</t>
  </si>
  <si>
    <t>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t>
  </si>
  <si>
    <t>14.4201 - Mechatronics, Robotics, and Automation Engineering.</t>
  </si>
  <si>
    <t>Information Technology.</t>
  </si>
  <si>
    <t>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t>
  </si>
  <si>
    <t>Informatics.</t>
  </si>
  <si>
    <t>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t>
  </si>
  <si>
    <t>26.1103 - Bioinformatics., 51.2706 - Medical Informatics.</t>
  </si>
  <si>
    <t>Examples: - Social Informatics</t>
  </si>
  <si>
    <t>Human-Centered Technology Design.</t>
  </si>
  <si>
    <t>A program that focuses on incorporating a human perspective into designing, researching, and creating technological interfaces. Includes instruction in design, human-computer interaction, learning, neuroscience, perception, product design, user-centered design, and usability.</t>
  </si>
  <si>
    <t>30.3101 - Human Computer Interaction.</t>
  </si>
  <si>
    <t>Computer and Information Sciences,  Other.</t>
  </si>
  <si>
    <t>Any instructional program in computer science not listed above.</t>
  </si>
  <si>
    <t>Computer Programming.</t>
  </si>
  <si>
    <t>Instructional content for this group of programs is defined in codes 11.0201 - 11.0299.</t>
  </si>
  <si>
    <t>Computer Programming/Programmer, General.</t>
  </si>
  <si>
    <t>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t>
  </si>
  <si>
    <t>Computer Programming, Specific Applications.</t>
  </si>
  <si>
    <t>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t>
  </si>
  <si>
    <t>Computer Programming, Vendor/Product Certification.</t>
  </si>
  <si>
    <t>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t>
  </si>
  <si>
    <t>Computer Game Programming.</t>
  </si>
  <si>
    <t>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t>
  </si>
  <si>
    <t>50.0411 - Game and Interactive Media Design.</t>
  </si>
  <si>
    <t>Computer Programming, Specific Platforms.</t>
  </si>
  <si>
    <t>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t>
  </si>
  <si>
    <t>Computer Programming, Other.</t>
  </si>
  <si>
    <t>Any instructional program in computer programming not listed above.</t>
  </si>
  <si>
    <t>Data Processing.</t>
  </si>
  <si>
    <t>Instructional content is defined in code 11.0301.</t>
  </si>
  <si>
    <t>Data Processing and Data Processing Technology/Technician.</t>
  </si>
  <si>
    <t>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t>
  </si>
  <si>
    <t>Information Science/Studies.</t>
  </si>
  <si>
    <t>Instructional content is defined in code 11.0401.</t>
  </si>
  <si>
    <t>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t>
  </si>
  <si>
    <t>25.0101 - Library and Information Science., 52.1201 - Management Information Systems, General.</t>
  </si>
  <si>
    <t>Computer Systems Analysis.</t>
  </si>
  <si>
    <t>Instructional content is defined in code 11.0501.</t>
  </si>
  <si>
    <t>Computer Systems Analysis/Analyst.</t>
  </si>
  <si>
    <t>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t>
  </si>
  <si>
    <t>14.2701 - Systems Engineering.</t>
  </si>
  <si>
    <t>Data Entry/Microcomputer Applications.</t>
  </si>
  <si>
    <t>Instructional content for this group of programs is defined in codes 11.0601 - 11.0699.</t>
  </si>
  <si>
    <t>Data Entry/Microcomputer Applications, General.</t>
  </si>
  <si>
    <t>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t>
  </si>
  <si>
    <t>Word Processing.</t>
  </si>
  <si>
    <t>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t>
  </si>
  <si>
    <t>Data Entry/Microcomputer Applications, Other.</t>
  </si>
  <si>
    <t>Any instructional program in data entry/microcomputer applications not listed above.</t>
  </si>
  <si>
    <t>Computer Science.</t>
  </si>
  <si>
    <t>Instructional content is defined in code 11.0701.</t>
  </si>
  <si>
    <t>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t>
  </si>
  <si>
    <t>14.0901 - Computer Engineering, General.</t>
  </si>
  <si>
    <t>Computer Software and Media Applications.</t>
  </si>
  <si>
    <t>Instructional content for this group of programs is defined in codes 11.0801 - 11.0899.</t>
  </si>
  <si>
    <t>Web Page, Digital/Multimedia and Information Resources Design.</t>
  </si>
  <si>
    <t>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t>
  </si>
  <si>
    <t>Data Modeling/Warehousing and Database Administration.</t>
  </si>
  <si>
    <t>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t>
  </si>
  <si>
    <t>Computer Graphics.</t>
  </si>
  <si>
    <t>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t>
  </si>
  <si>
    <t>Modeling, Virtual Environments and Simulation.</t>
  </si>
  <si>
    <t>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t>
  </si>
  <si>
    <t>Computer Software and Media Applications, Other.</t>
  </si>
  <si>
    <t>Any instructional program in computer software and media applications not listed above.</t>
  </si>
  <si>
    <t>Computer Systems Networking and Telecommunications.</t>
  </si>
  <si>
    <t>Instructional content for this group of programs is defined in codes 11.0901 - 11.0999.</t>
  </si>
  <si>
    <t>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t>
  </si>
  <si>
    <t>Examples: - Computer Systems Telecommunications, - Computer Systems Networking</t>
  </si>
  <si>
    <t>Cloud Computing.</t>
  </si>
  <si>
    <t>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t>
  </si>
  <si>
    <t>Computer Systems Networking and Telecommunications, Other.</t>
  </si>
  <si>
    <t>Any instructional program in computer systems networking and telecommunications not listed above.</t>
  </si>
  <si>
    <t>Computer/Information Technology Administration and Management.</t>
  </si>
  <si>
    <t>Instructional content for this group of programs is defined in codes 11.1001 - 11.1099.</t>
  </si>
  <si>
    <t>Network and System Administration/Administrator.</t>
  </si>
  <si>
    <t>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t>
  </si>
  <si>
    <t>Examples: - Network Administration</t>
  </si>
  <si>
    <t>System, Networking, and LAN/WAN Management/Manager.</t>
  </si>
  <si>
    <t>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t>
  </si>
  <si>
    <t>Computer and Information Systems Security/Auditing/Information Assurance.</t>
  </si>
  <si>
    <t>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t>
  </si>
  <si>
    <t>43.0403 - Cyber/Computer Forensics and Counterterrorism.</t>
  </si>
  <si>
    <t>Examples: - Information Assurance, - IT Security, - Internet Security, - Network Security, - Information Systems Security, - Information Systems Auditing and Control</t>
  </si>
  <si>
    <t>Web/Multimedia Management and Webmaster.</t>
  </si>
  <si>
    <t>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t>
  </si>
  <si>
    <t>Examples: - Website Development, - Web Development, - Webmaster</t>
  </si>
  <si>
    <t>Information Technology Project Management.</t>
  </si>
  <si>
    <t>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t>
  </si>
  <si>
    <t>52.0211 - Project Management.</t>
  </si>
  <si>
    <t>Computer Support Specialist.</t>
  </si>
  <si>
    <t>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t>
  </si>
  <si>
    <t>Examples: - Technical Support Specialist, - Help Desk Specialist, - IT Support Specialist</t>
  </si>
  <si>
    <t>Computer/Information Technology Services Administration and Management, Other.</t>
  </si>
  <si>
    <t>Any instructional program in computer/information technology services administration and management not listed above.</t>
  </si>
  <si>
    <t>51.0706 - Health Information/Medical Records Administration/Administrator.</t>
  </si>
  <si>
    <t>Computer and Information Sciences and Support Services, Other.</t>
  </si>
  <si>
    <t>Instructional content is defined in code 11.9999.</t>
  </si>
  <si>
    <t>Any instructional program in computer and information sciences and support services not listed above.</t>
  </si>
  <si>
    <t>51.0709 - Medical Office Computer Specialist/Assistant., 51.0707 - Health Information/Medical Records Technology/Technician.</t>
  </si>
  <si>
    <t>CULINARY, ENTERTAINMENT, AND PERSONAL SERVICES.</t>
  </si>
  <si>
    <t>Instructional programs that prepare individuals to provide professional services related to cosmetology, funeral services, entertainment, and food preparation and service.</t>
  </si>
  <si>
    <t>Funeral Service and Mortuary Science.</t>
  </si>
  <si>
    <t>Instructional content for this group of programs is defined in codes 12.0301 - 12.0399.</t>
  </si>
  <si>
    <t>Funeral Service and Mortuary Science, General.</t>
  </si>
  <si>
    <t>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t>
  </si>
  <si>
    <t>Funeral Direction/Service.</t>
  </si>
  <si>
    <t>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t>
  </si>
  <si>
    <t>Mortuary Science and Embalming/Embalmer.</t>
  </si>
  <si>
    <t>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t>
  </si>
  <si>
    <t>Funeral Service and Mortuary Science, Other.</t>
  </si>
  <si>
    <t>Any instructional program in funeral service and mortuary science not listed above.</t>
  </si>
  <si>
    <t>Cosmetology and Related Personal Grooming Services.</t>
  </si>
  <si>
    <t>Instructional content for this group of programs is defined in codes 12.0401 - 12.0499.</t>
  </si>
  <si>
    <t>Cosmetology/Cosmetologist, General.</t>
  </si>
  <si>
    <t>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t>
  </si>
  <si>
    <t>Barbering/Barber.</t>
  </si>
  <si>
    <t>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t>
  </si>
  <si>
    <t>Electrolysis/Electrology and Electrolysis Technician.</t>
  </si>
  <si>
    <t>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t>
  </si>
  <si>
    <t>Make-Up Artist/Specialist.</t>
  </si>
  <si>
    <t>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t>
  </si>
  <si>
    <t>Hair Styling/Stylist and Hair Design.</t>
  </si>
  <si>
    <t>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t>
  </si>
  <si>
    <t>Examples: - Natural Hair Braider</t>
  </si>
  <si>
    <t>Facial Treatment Specialist/Facialist.</t>
  </si>
  <si>
    <t>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t>
  </si>
  <si>
    <t>Aesthetician/Esthetician and Skin Care Specialist.</t>
  </si>
  <si>
    <t>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t>
  </si>
  <si>
    <t>Examples: - Waxing, - Basic Aesthetician/Esthetician</t>
  </si>
  <si>
    <t>Nail Technician/Specialist and Manicurist.</t>
  </si>
  <si>
    <t>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t>
  </si>
  <si>
    <t>Permanent Cosmetics/Makeup and Tattooing.</t>
  </si>
  <si>
    <t>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t>
  </si>
  <si>
    <t>Salon/Beauty Salon Management/Manager.</t>
  </si>
  <si>
    <t>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t>
  </si>
  <si>
    <t>Cosmetology, Barber/Styling, and Nail Instructor.</t>
  </si>
  <si>
    <t>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t>
  </si>
  <si>
    <t>Examples: - Cosmetology Master Instructor</t>
  </si>
  <si>
    <t>Master Aesthetician/Esthetician.</t>
  </si>
  <si>
    <t>A program that prepares individuals to massage and treat the face, neck, and body with advanced chemical and cosmetic preparations and esthetic medical treatments, and to function as licensed master or medical estheticians in dermatologists' and plastic surgeons' offices as well as in salons and spas. Includes instruction in advanced anatomy and physiology, skin properties and disorders, sanitation and infection control, advanced facial treatments, spa body treatments, advanced extractions, corrective makeup, chemical peels, microdermabrasion, lymphatic drainage and advanced massage techniques, pre- and post-operative esthetic skin care, client/patient evaluation and care, applicable laws and regulations, and business practices.</t>
  </si>
  <si>
    <t>Examples: - Medical Aesthetician/Esthetician, - Advanced Aesthetician/Esthetician, - Advanced Paramedical Aesthetician/Esthetician</t>
  </si>
  <si>
    <t>Cosmetology and Related Personal Grooming Arts, Other.</t>
  </si>
  <si>
    <t>Any instructional program in cosmetology and related personal grooming services not listed above.</t>
  </si>
  <si>
    <t>Culinary Arts and Related Services.</t>
  </si>
  <si>
    <t>Instructional content for this group of programs is defined in codes 12.0500 - 12.0599.</t>
  </si>
  <si>
    <t>Cooking and Related Culinary Arts, General.</t>
  </si>
  <si>
    <t>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t>
  </si>
  <si>
    <t>Examples: - Cook</t>
  </si>
  <si>
    <t>Baking and Pastry Arts/Baker/Pastry Chef.</t>
  </si>
  <si>
    <t>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t>
  </si>
  <si>
    <t>Bartending/Bartender.</t>
  </si>
  <si>
    <t>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t>
  </si>
  <si>
    <t>Culinary Arts/Chef Training.</t>
  </si>
  <si>
    <t>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t>
  </si>
  <si>
    <t>Restaurant, Culinary, and Catering Management/Manager.</t>
  </si>
  <si>
    <t>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t>
  </si>
  <si>
    <t>52.0905 - Restaurant/Food Services Management.</t>
  </si>
  <si>
    <t>Food Preparation/Professional Cooking/Kitchen Assistant.</t>
  </si>
  <si>
    <t>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t>
  </si>
  <si>
    <t>Meat Cutting/Meat Cutter.</t>
  </si>
  <si>
    <t>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t>
  </si>
  <si>
    <t>Food Service, Waiter/Waitress, and Dining Room Management/Manager.</t>
  </si>
  <si>
    <t>A program that prepares individuals to serve food to customers in formal or informal settings.  Includes instruction in the nutritional, sensory, and functional properties of food and its ingredients; food services principles; table and counter services; dining room operations and procedures; service personnel supervision and management; communication skills; business math; safety; and sanitation.</t>
  </si>
  <si>
    <t>Institutional Food Workers.</t>
  </si>
  <si>
    <t>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t>
  </si>
  <si>
    <t>Culinary Science/Culinology.</t>
  </si>
  <si>
    <t>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t>
  </si>
  <si>
    <t>01.1001 - Food Science.</t>
  </si>
  <si>
    <t>Wine Steward/Sommelier.</t>
  </si>
  <si>
    <t>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t>
  </si>
  <si>
    <t>Culinary Arts and Related Services, Other.</t>
  </si>
  <si>
    <t>Any instructional program in culinary arts and related services not listed above.</t>
  </si>
  <si>
    <t>Casino Operations and Services.</t>
  </si>
  <si>
    <t>Instructional content for this group of programs is defined in codes 12.0601 - 12.0699.</t>
  </si>
  <si>
    <t>Casino Operations and Services, General.</t>
  </si>
  <si>
    <t>A program that focuses on casino operations and services. Includes instruction in casino operations, casino security and surveillance, casino dealing, principles of the gaming industry, ethics, and gaming law.</t>
  </si>
  <si>
    <t>52.0908 - Casino Management.</t>
  </si>
  <si>
    <t>Casino Dealing.</t>
  </si>
  <si>
    <t>A program of study that prepares individuals to apply technical skills and knowledge to become table games dealers in casinos or other recreational settings. Includes instruction in dealing techniques for Baccarat, Blackjack, Carnival Games, Craps, Poker, and Roulette.</t>
  </si>
  <si>
    <t>Casino Operations and Services, Other.</t>
  </si>
  <si>
    <t>Any instructional program in casino operations and services not listed above.</t>
  </si>
  <si>
    <t>Culinary, Entertainment, and Personal Services, Other.</t>
  </si>
  <si>
    <t>Instructional content is defined in code 12.9999.</t>
  </si>
  <si>
    <t>Any instructional program in culinary, entertainment, and personal services not listed above.</t>
  </si>
  <si>
    <t>EDUCATION.</t>
  </si>
  <si>
    <t>Instructional programs that focus on the theory and practice of learning and teaching, and related research, administrative and support services.</t>
  </si>
  <si>
    <t>Education, General.</t>
  </si>
  <si>
    <t>Instructional content is defined in code 13.0101.</t>
  </si>
  <si>
    <t>A program that focuses on the general theory and practice of learning and teaching, the basic principles of educational psychology, the art of teaching, the planning and administration of educational activities, school safety and health issues, and the social foundations of education.</t>
  </si>
  <si>
    <t>Bilingual, Multilingual, and Multicultural Education.</t>
  </si>
  <si>
    <t>Instructional content for this group of programs is defined in codes 13.0201 - 13.0299.</t>
  </si>
  <si>
    <t>Bilingual and Multilingual Education.</t>
  </si>
  <si>
    <t>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t>
  </si>
  <si>
    <t>13.1401 - Teaching English as a Second or Foreign Language/ESL Language Instructor.</t>
  </si>
  <si>
    <t>Multicultural Education.</t>
  </si>
  <si>
    <t>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t>
  </si>
  <si>
    <t>Indian/Native American Education.</t>
  </si>
  <si>
    <t>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t>
  </si>
  <si>
    <t>Bilingual, Multilingual, and Multicultural Education, Other.</t>
  </si>
  <si>
    <t>Any instructional program in bilingual, multilingual, and multicultural Education not listed above.</t>
  </si>
  <si>
    <t>Curriculum and Instruction.</t>
  </si>
  <si>
    <t>Instructional content is defined in code 13.0301.</t>
  </si>
  <si>
    <t>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t>
  </si>
  <si>
    <t>Examples: - Effective Teaching</t>
  </si>
  <si>
    <t>Educational Administration and Supervision.</t>
  </si>
  <si>
    <t>Instructional content for this group of programs is defined in codes 13.0401 - 13.0499.</t>
  </si>
  <si>
    <t>Educational Leadership and Administration, General.</t>
  </si>
  <si>
    <t>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t>
  </si>
  <si>
    <t>Examples: - Educational Leadership and Policy, - Educational Administration and Policy, - K-12 Educational Leadership, - K-12 Educational Administration, - School Business Management</t>
  </si>
  <si>
    <t>Administration of Special Education.</t>
  </si>
  <si>
    <t>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t>
  </si>
  <si>
    <t>Adult and Continuing Education Administration.</t>
  </si>
  <si>
    <t>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t>
  </si>
  <si>
    <t>Educational, Instructional, and Curriculum Supervision.</t>
  </si>
  <si>
    <t>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t>
  </si>
  <si>
    <t>Higher Education/Higher Education Administration.</t>
  </si>
  <si>
    <t>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t>
  </si>
  <si>
    <t>13.1102 - College Student Counseling and Personnel Services.</t>
  </si>
  <si>
    <t>Examples: - Higher Education Policy</t>
  </si>
  <si>
    <t>Community College Administration.</t>
  </si>
  <si>
    <t>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t>
  </si>
  <si>
    <t>Examples: - Community College Leadership, - Community College Education</t>
  </si>
  <si>
    <t>Elementary and Middle School Administration/Principalship.</t>
  </si>
  <si>
    <t>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t>
  </si>
  <si>
    <t>Secondary School Administration/Principalship.</t>
  </si>
  <si>
    <t>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t>
  </si>
  <si>
    <t>Urban Education and Leadership.</t>
  </si>
  <si>
    <t>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t>
  </si>
  <si>
    <t>Superintendency and Educational System Administration.</t>
  </si>
  <si>
    <t>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t>
  </si>
  <si>
    <t>International School Administration/Leadership.</t>
  </si>
  <si>
    <t>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t>
  </si>
  <si>
    <t>Education Entrepreneurship.</t>
  </si>
  <si>
    <t>A program that prepares individuals to create, fund, and manage innovations in education. Includes instruction in philanthropy, business modeling, the design of learning environments, the economics of education, entrepreneurship, evaluation, finance, human-centered design, investing, resource management, project management, and marketing.</t>
  </si>
  <si>
    <t>52.0704 - Social Entrepreneurship.</t>
  </si>
  <si>
    <t>Examples: - Education Innovation</t>
  </si>
  <si>
    <t>Early Childhood Program Administration.</t>
  </si>
  <si>
    <t>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t>
  </si>
  <si>
    <t>Educational Administration and Supervision, Other.</t>
  </si>
  <si>
    <t>Any instructional program in education administration and supervision not listed above.</t>
  </si>
  <si>
    <t>Educational/Instructional Media Design.</t>
  </si>
  <si>
    <t>Instructional content is defined in code 13.0501.</t>
  </si>
  <si>
    <t>Educational/Instructional Technology.</t>
  </si>
  <si>
    <t>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t>
  </si>
  <si>
    <t>Examples: - Advanced Learning Technologies</t>
  </si>
  <si>
    <t>Educational Assessment, Evaluation, and Research.</t>
  </si>
  <si>
    <t>Instructional content for this group of programs is defined in codes 13.0601 - 13.0699.</t>
  </si>
  <si>
    <t>Educational Evaluation and Research.</t>
  </si>
  <si>
    <t>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t>
  </si>
  <si>
    <t>Educational Statistics and Research Methods.</t>
  </si>
  <si>
    <t>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t>
  </si>
  <si>
    <t>27.0501 - Statistics, General., 45.0102 - Research Methodology and Quantitative Methods.</t>
  </si>
  <si>
    <t>Educational Assessment, Testing, and Measurement.</t>
  </si>
  <si>
    <t>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t>
  </si>
  <si>
    <t>Learning Sciences.</t>
  </si>
  <si>
    <t>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t>
  </si>
  <si>
    <t>Examples: - Learning Sciences Research, - Learning Sciences and Policy</t>
  </si>
  <si>
    <t>Institutional Research.</t>
  </si>
  <si>
    <t>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t>
  </si>
  <si>
    <t>Educational Assessment, Evaluation, and Research, Other.</t>
  </si>
  <si>
    <t>Any instructional program in educational evaluation, research and statistics not listed above.</t>
  </si>
  <si>
    <t>International and Comparative Education.</t>
  </si>
  <si>
    <t>Instructional content is defined in code 13.0701.</t>
  </si>
  <si>
    <t>A program that focuses on the educational phenomena, practices, and institutions within different societies and states in a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t>
  </si>
  <si>
    <t>Social and Philosophical Foundations of Education.</t>
  </si>
  <si>
    <t>Instructional content is defined in code 13.0901.</t>
  </si>
  <si>
    <t>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t>
  </si>
  <si>
    <t>Special Education and Teaching.</t>
  </si>
  <si>
    <t>Instructional content for this group of programs is defined in codes 13.1001 - 13.1099.</t>
  </si>
  <si>
    <t>Special Education and Teaching, General.</t>
  </si>
  <si>
    <t>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t>
  </si>
  <si>
    <t>Examples: - Special Education Collaborative Teacher/Teaching</t>
  </si>
  <si>
    <t>Education/Teaching of Individuals with Hearing Impairments Including Deafness.</t>
  </si>
  <si>
    <t>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t>
  </si>
  <si>
    <t>Education/Teaching of the Gifted and Talented.</t>
  </si>
  <si>
    <t>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t>
  </si>
  <si>
    <t>Education/Teaching of Individuals with Emotional Disturbances.</t>
  </si>
  <si>
    <t>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t>
  </si>
  <si>
    <t>Education/Teaching of Individuals with Intellectual Disabilities.</t>
  </si>
  <si>
    <t>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t>
  </si>
  <si>
    <t>Education/Teaching of Individuals with Multiple Disabilities.</t>
  </si>
  <si>
    <t>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t>
  </si>
  <si>
    <t>Education/Teaching of Individuals with Orthopedic and Other Physical Health Impairments.</t>
  </si>
  <si>
    <t>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t>
  </si>
  <si>
    <t>Education/Teaching of Individuals with Vision Impairments Including Blindness.</t>
  </si>
  <si>
    <t>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t>
  </si>
  <si>
    <t>Education/Teaching of Individuals with Specific Learning Disabilities.</t>
  </si>
  <si>
    <t>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t>
  </si>
  <si>
    <t>Education/Teaching of Individuals with Speech or Language Impairments.</t>
  </si>
  <si>
    <t>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t>
  </si>
  <si>
    <t>51.0816 - Speech-Language Pathology Assistant.</t>
  </si>
  <si>
    <t>Education/Teaching of Individuals with Autism.</t>
  </si>
  <si>
    <t>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t>
  </si>
  <si>
    <t>Education/Teaching of Individuals Who are Developmentally Delayed.</t>
  </si>
  <si>
    <t>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t>
  </si>
  <si>
    <t>Education/Teaching of Individuals in Early Childhood Special Education Programs.</t>
  </si>
  <si>
    <t>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t>
  </si>
  <si>
    <t>Education/Teaching of Individuals with Traumatic Brain Injuries.</t>
  </si>
  <si>
    <t>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t>
  </si>
  <si>
    <t>Education/Teaching of Individuals in Elementary Special Education Programs.</t>
  </si>
  <si>
    <t>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t>
  </si>
  <si>
    <t>Education/Teaching of Individuals in Junior High/Middle School Special Education Programs.</t>
  </si>
  <si>
    <t>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t>
  </si>
  <si>
    <t>Education/Teaching of Individuals in Secondary Special Education Programs.</t>
  </si>
  <si>
    <t>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t>
  </si>
  <si>
    <t>Special Education and Teaching, Other.</t>
  </si>
  <si>
    <t>Any instructional program in special education not listed above.</t>
  </si>
  <si>
    <t>Student Counseling and Personnel Services.</t>
  </si>
  <si>
    <t>Instructional content for this group of programs is defined in codes 13.1101 - 13.1199.</t>
  </si>
  <si>
    <t>Counselor Education/School Counseling and Guidance Services.</t>
  </si>
  <si>
    <t>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t>
  </si>
  <si>
    <t>42.2805 - School Psychology.</t>
  </si>
  <si>
    <t>College Student Counseling and Personnel Services.</t>
  </si>
  <si>
    <t>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t>
  </si>
  <si>
    <t>Student Counseling and Personnel Services, Other.</t>
  </si>
  <si>
    <t>Any instructional program in student counseling and personnel services not listed above.</t>
  </si>
  <si>
    <t>Teacher Education and Professional Development, Specific Levels and Methods.</t>
  </si>
  <si>
    <t>Instructional content for this group of programs is defined in codes 13.1201 - 13.1299.</t>
  </si>
  <si>
    <t>Adult and Continuing Education and Teaching.</t>
  </si>
  <si>
    <t>A program that prepares individuals to teach adult students in various settings, including basic and remedial education programs, continuing education programs, and programs designed to develop or upgrade specific employment-related knowledge and skills.</t>
  </si>
  <si>
    <t>Examples: - Workforce Training and Development Instruction</t>
  </si>
  <si>
    <t>Elementary Education and Teaching.</t>
  </si>
  <si>
    <t>A program that prepares individuals to teach students in the elementary grades, which may include kindergarten through grade eight, depending on the school system or state regulations.  Includes preparation to teach all elementary education subject matter.</t>
  </si>
  <si>
    <t>Junior High/Intermediate/Middle School Education and Teaching.</t>
  </si>
  <si>
    <t>A program that prepares individuals to teach students in the middle, intermediate or junior high grades, which may include grades four through nine by regulation.</t>
  </si>
  <si>
    <t>Secondary Education and Teaching.</t>
  </si>
  <si>
    <t>A program that prepares individuals to teach students in the secondary grades, which may include grades seven through twelve, depending on the school system or state regulations.  May include preparation to teach a comprehensive curriculum or specific subject matter.</t>
  </si>
  <si>
    <t>Teacher Education, Multiple Levels.</t>
  </si>
  <si>
    <t>A program that prepares individuals to teach students at more than one educational level, such as a combined program in elementary/secondary, early childhood/elementary, elementary/middle school, or junior high/high school teacher education.</t>
  </si>
  <si>
    <t>Montessori Teacher Education.</t>
  </si>
  <si>
    <t>A program that prepares individuals to teach students at various grade levels according to the pedagogical principles and methods developed by Maria Montessori and her followers.</t>
  </si>
  <si>
    <t>Waldorf/Steiner Teacher Education.</t>
  </si>
  <si>
    <t>A program that prepares individuals to teach students at various grade levels according to the pedagogical principles and methods developed by Rudolf Steiner and his followers.</t>
  </si>
  <si>
    <t>Kindergarten/Preschool Education and Teaching.</t>
  </si>
  <si>
    <t>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t>
  </si>
  <si>
    <t>Early Childhood Education and Teaching.</t>
  </si>
  <si>
    <t>A program that prepares individuals to teach students ranging in age from infancy through eight years (grade three), depending on the school system or state regulations.  Includes preparation to teach all relevant subject matter.</t>
  </si>
  <si>
    <t>13.1501 - Teacher Assistant/Aide.</t>
  </si>
  <si>
    <t>Examples: - Early Childhood Education (AA), - Early Childhood Education (BA), - Early Childhood Education (MA), - Early Childhood Education (PhD)</t>
  </si>
  <si>
    <t>Online Educator/Online Teaching.</t>
  </si>
  <si>
    <t>A program that prepares individuals to teach students at various academic levels through online instructional technologies. Includes instruction in andragogy, pedagogy, assessment, instructional design and technology, and learning science.</t>
  </si>
  <si>
    <t>International Teaching and Learning.</t>
  </si>
  <si>
    <t>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t>
  </si>
  <si>
    <t>Science, Technology, Engineering, and Mathematics (STEM) Educational Methods.</t>
  </si>
  <si>
    <t>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t>
  </si>
  <si>
    <t>Examples: - Science, Technology, Engineering, the Arts, and Mathematics (STEAM) Educational Methods</t>
  </si>
  <si>
    <t>College/Postsecondary/University Teaching.</t>
  </si>
  <si>
    <t>A program that prepares individuals to teach at a postsecondary institution. Includes instruction in andragogy, assessment, classroom motivation, instructional design and technology, learner-centered teaching, learning science, syllabus construction, and teaching critical thinking.</t>
  </si>
  <si>
    <t>Examples: - University and College Teaching</t>
  </si>
  <si>
    <t>Teacher Education and Professional Development, Specific Levels and Methods, Other.</t>
  </si>
  <si>
    <t>Any instructional program in teacher education and professional development not listed above.</t>
  </si>
  <si>
    <t>Teacher Education and Professional Development, Specific Subject Areas.</t>
  </si>
  <si>
    <t>Instructional content for this group of programs is defined in codes 13.1301 - 13.1399.</t>
  </si>
  <si>
    <t>Agricultural Teacher Education.</t>
  </si>
  <si>
    <t>A program that prepares individuals to teach vocational agricultural programs at various educational levels.</t>
  </si>
  <si>
    <t>01.0801 - Agricultural and Extension Education Services.</t>
  </si>
  <si>
    <t>Art Teacher Education.</t>
  </si>
  <si>
    <t>A program that prepares individuals to teach art and art appreciation programs at various educational levels.</t>
  </si>
  <si>
    <t>Business and Innovation/Entrepreneurship Teacher Education.</t>
  </si>
  <si>
    <t>A program that prepares individuals to teach vocational business, innovation, and entrepreneurship programs at various educational levels. Includes instruction in business administration, business development, finance, idea generation, investing, logistics, management, and marketing.</t>
  </si>
  <si>
    <t>Examples: - Innovation and Entrepreneurship Teacher Education</t>
  </si>
  <si>
    <t>Driver and Safety Teacher Education.</t>
  </si>
  <si>
    <t>A program that prepares individuals to teach driver and safety education programs at various educational levels.</t>
  </si>
  <si>
    <t>English/Language Arts Teacher Education.</t>
  </si>
  <si>
    <t>A program that prepares individuals to teach English grammar, composition and literature programs at various educational levels.</t>
  </si>
  <si>
    <t>Foreign Language Teacher  Education.</t>
  </si>
  <si>
    <t>A program that prepares individuals to teach foreign languages programs at various educational levels, other than French, German or Spanish.</t>
  </si>
  <si>
    <t>Health Teacher Education.</t>
  </si>
  <si>
    <t>A program that prepares individuals to teach health education programs at various educational levels.</t>
  </si>
  <si>
    <t>Family and Consumer Sciences/Home Economics Teacher Education.</t>
  </si>
  <si>
    <t>A program that prepares individuals to teach vocational home economics programs at various educational levels.</t>
  </si>
  <si>
    <t>19.0101 - Family and Consumer Sciences/Human Sciences, General.</t>
  </si>
  <si>
    <t>Technology Teacher Education/Industrial Arts Teacher Education.</t>
  </si>
  <si>
    <t>A program that prepares individuals to teach technology education/industrial arts programs at various educational levels.</t>
  </si>
  <si>
    <t>Sales and Marketing Operations/Marketing and Distribution   Teacher Education.</t>
  </si>
  <si>
    <t>A program that prepares individuals to teach vocational sales and marketing operations/marketing and distributive education programs at various educational levels.</t>
  </si>
  <si>
    <t>Mathematics Teacher Education.</t>
  </si>
  <si>
    <t>A program that prepares individuals to teach mathematics programs at various educational levels.</t>
  </si>
  <si>
    <t>Examples: - Elementary Mathematics Teacher Education, - Middle School Mathematics Teacher Education, - Secondary Mathematics Teacher Education</t>
  </si>
  <si>
    <t>Music Teacher Education.</t>
  </si>
  <si>
    <t>A program that prepares individuals to teach music and music appreciation programs at various educational levels.</t>
  </si>
  <si>
    <t>Physical Education Teaching and Coaching.</t>
  </si>
  <si>
    <t>A program that prepares individuals to teach physical education programs and/or to coach sports at various educational levels.</t>
  </si>
  <si>
    <t>Reading Teacher Education.</t>
  </si>
  <si>
    <t>A program that prepares individuals to diagnose reading difficulties and to teach reading programs at various educational levels.</t>
  </si>
  <si>
    <t>Science Teacher Education/General Science Teacher Education.</t>
  </si>
  <si>
    <t>A program that prepares individuals to teach general science programs, or a combination of the biological and physical science subject matter areas, at various educational levels.</t>
  </si>
  <si>
    <t>Social Science Teacher Education.</t>
  </si>
  <si>
    <t>A program that prepares individuals to teach specific social science subjects and programs at various educational levels.</t>
  </si>
  <si>
    <t>Social Studies Teacher Education.</t>
  </si>
  <si>
    <t>A program that prepares individuals to teach general social studies programs at various educational levels.</t>
  </si>
  <si>
    <t>Technical Teacher Education.</t>
  </si>
  <si>
    <t>A program that prepares individuals to teach specific vocational technical education programs at various educational levels.</t>
  </si>
  <si>
    <t>Trade and Industrial Teacher Education.</t>
  </si>
  <si>
    <t>A program that prepares individuals to teach specific vocational trades and industries programs at various educational levels.</t>
  </si>
  <si>
    <t>Computer Teacher Education.</t>
  </si>
  <si>
    <t>A program that prepares individuals to teach computer education programs at various educational levels.</t>
  </si>
  <si>
    <t>Biology Teacher Education.</t>
  </si>
  <si>
    <t>A program that prepares individuals to teach biology programs at various educational levels.</t>
  </si>
  <si>
    <t>Chemistry Teacher Education.</t>
  </si>
  <si>
    <t>A program that prepares individuals to teach chemistry programs at various educational levels.</t>
  </si>
  <si>
    <t>Drama and Dance Teacher Education.</t>
  </si>
  <si>
    <t>A program that prepares individuals to teach drama and/or dance programs at various educational levels.</t>
  </si>
  <si>
    <t>French Language Teacher Education.</t>
  </si>
  <si>
    <t>A program that prepares individuals to teach French language programs at various educational levels.</t>
  </si>
  <si>
    <t>German Language Teacher Education.</t>
  </si>
  <si>
    <t>A program that prepares individuals to teach German language programs at various educational levels.</t>
  </si>
  <si>
    <t>Health Occupations Teacher Education.</t>
  </si>
  <si>
    <t>A program that prepares individuals to teach specific vocational health occupations programs at various educational levels.</t>
  </si>
  <si>
    <t>History Teacher Education.</t>
  </si>
  <si>
    <t>A program that prepares individuals to teach history programs at various educational levels.</t>
  </si>
  <si>
    <t>Physics Teacher Education.</t>
  </si>
  <si>
    <t>A program that prepares individuals to teach physics programs at various educational levels.</t>
  </si>
  <si>
    <t>Spanish Language Teacher Education.</t>
  </si>
  <si>
    <t>A program that prepares individuals to teach Spanish language programs at various educational levels.</t>
  </si>
  <si>
    <t>Speech Teacher Education.</t>
  </si>
  <si>
    <t>A program that prepares individuals to teach speech and language arts programs at various educational levels.</t>
  </si>
  <si>
    <t>Geography Teacher Education.</t>
  </si>
  <si>
    <t>A program that prepares individuals to teach geography at various grade levels.</t>
  </si>
  <si>
    <t>Latin Teacher Education.</t>
  </si>
  <si>
    <t>A program that prepares individuals to teach Latin at various grade levels.</t>
  </si>
  <si>
    <t>School Librarian/School Library Media Specialist.</t>
  </si>
  <si>
    <t>A program that prepares individuals to serve as librarians and media specialists in elementary and secondary schools as well as special instructional centers.</t>
  </si>
  <si>
    <t>25.0101 - Library and Information Science.</t>
  </si>
  <si>
    <t>Psychology Teacher Education.</t>
  </si>
  <si>
    <t>A program that prepares individuals to teach general psychology at the secondary school level.</t>
  </si>
  <si>
    <t>Earth Science Teacher Education.</t>
  </si>
  <si>
    <t>A program that prepares individuals to teach earth science programs at various educational levels.</t>
  </si>
  <si>
    <t>Examples: - Geosciences Education</t>
  </si>
  <si>
    <t>Environmental Education.</t>
  </si>
  <si>
    <t>A program that prepares individuals to teach environmental education at various educational levels as a K-12 classroom educator. Includes instruction in foundations of environmental education, instructional methods, and related content knowledge.</t>
  </si>
  <si>
    <t>31.0601 - Outdoor Education.</t>
  </si>
  <si>
    <t>Communication Arts and Literature Teacher Education.</t>
  </si>
  <si>
    <t>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t>
  </si>
  <si>
    <t>Teacher Education and Professional Development, Specific Subject Areas, Other.</t>
  </si>
  <si>
    <t>Any instructional program in teacher education, specific academic and vocational programs not listed above.</t>
  </si>
  <si>
    <t>Teaching English or French as a Second or Foreign Language.</t>
  </si>
  <si>
    <t>Instructional content for this group of programs is defined in codes 13.1401 - 13.1499.</t>
  </si>
  <si>
    <t>Teaching English as a Second or Foreign Language/ESL Language Instructor.</t>
  </si>
  <si>
    <t>A program that focuses on the principles and practice of teaching English to students who are not proficient in English or who do not speak, read or write English, and that may prepare individuals to function as teachers and administrators in such programs.</t>
  </si>
  <si>
    <t>Teaching French as a Second or Foreign Language.</t>
  </si>
  <si>
    <t>A program that focuses on the principles and practice of teaching French to students who are not proficient in French or who do not speak, read, or write French, and prepares individuals to serve as teachers and administrators.</t>
  </si>
  <si>
    <t>Teaching English or French as a Second or Foreign Language, Other.</t>
  </si>
  <si>
    <t>Any program in teaching English or French as a second or foreign language not listed above.</t>
  </si>
  <si>
    <t>Teaching Assistants/Aides.</t>
  </si>
  <si>
    <t>Instructional content for this group of programs is defined in codes 13.1501 - 13.1599.</t>
  </si>
  <si>
    <t>Teacher Assistant/Aide.</t>
  </si>
  <si>
    <t>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t>
  </si>
  <si>
    <t>13.1210 - Early Childhood Education and Teaching.</t>
  </si>
  <si>
    <t>Examples: - Early Childhood Education Teacher Assistant/Aide, - Elementary Education Teacher Assistant/Aide, - Special Education Teacher Assistant/Aide, - Paraprofessional Educator</t>
  </si>
  <si>
    <t>Adult Literacy Tutor/Instructor.</t>
  </si>
  <si>
    <t>A program that prepares individuals to serve as instructors and mentors for adults in basic or functional literacy programs in school, institutional, community, and private settings.</t>
  </si>
  <si>
    <t>Teaching Assistants/Aides, Other.</t>
  </si>
  <si>
    <t>Any teaching assistant/aide program not listed above.</t>
  </si>
  <si>
    <t>Education, Other.</t>
  </si>
  <si>
    <t>Instructional content is defined in code 13.9999.</t>
  </si>
  <si>
    <t>Any instructional program in education not listed above.</t>
  </si>
  <si>
    <t>ENGINEERING.</t>
  </si>
  <si>
    <t>Instructional programs that prepare individuals to apply mathematical and     scientific principles to the solution of practical problems.</t>
  </si>
  <si>
    <t>Engineering, General.</t>
  </si>
  <si>
    <t>Instructional content for this group of programs is defined in codes 14.0101 - 14.0103.</t>
  </si>
  <si>
    <t>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t>
  </si>
  <si>
    <t>Pre-Engineering.</t>
  </si>
  <si>
    <t>A program that prepares individuals for admission or transfer to a baccalaureate-level program in any of the fields of engineering.</t>
  </si>
  <si>
    <t>Examples: - Pre-Engineering Transfer Program</t>
  </si>
  <si>
    <t>Applied Engineering.</t>
  </si>
  <si>
    <t>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</si>
  <si>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Aerospace, Aeronautical, and Astronautical/Space Engineering.</t>
  </si>
  <si>
    <t>Instructional content for this group of programs is defined in codes 14.0201 - 14.0299.</t>
  </si>
  <si>
    <t>Aerospace, Aeronautical, and Astronautical/Space Engineering, General.</t>
  </si>
  <si>
    <t>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t>
  </si>
  <si>
    <t>Examples: - Space Systems Engineering, - Space Facilities Engineering, - Missile Systems Engineering, - Air-Breathing Propulsion, - Aerospace Navigation, - Rocket Propulsion</t>
  </si>
  <si>
    <t>Astronautical Engineering.</t>
  </si>
  <si>
    <t>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t>
  </si>
  <si>
    <t>Aerospace, Aeronautical, and Astronautical/Space Engineering, Other.</t>
  </si>
  <si>
    <t>Any program in aerospace, aeronautical, astronautical, or space engineering not listed above.</t>
  </si>
  <si>
    <t>Agricultural Engineering.</t>
  </si>
  <si>
    <t>Instructional content is defined in code 14.0301.</t>
  </si>
  <si>
    <t>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t>
  </si>
  <si>
    <t>Examples: - Bioprocessing Engineering, - Food Engineering, - Soil Engineering</t>
  </si>
  <si>
    <t>Architectural Engineering.</t>
  </si>
  <si>
    <t>Instructional content is defined in code 14.0401.</t>
  </si>
  <si>
    <t>A program that prepares individuals to apply mathematical and scientific principles to the design, development and operational evaluation of materials, systems, and methods used to construct and equip buildings intended for human habitation or other purposes.</t>
  </si>
  <si>
    <t>04.0201 - Architecture.</t>
  </si>
  <si>
    <t>Biomedical/Medical Engineering.</t>
  </si>
  <si>
    <t>Instructional content is defined in code 14.0501.</t>
  </si>
  <si>
    <t>Bioengineering and Biomedical Engineering.</t>
  </si>
  <si>
    <t>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t>
  </si>
  <si>
    <t>31.0505 - Exercise Science and Kinesiology., 26.0913 - Biomechanics.</t>
  </si>
  <si>
    <t>Examples: - Cell and Tissue Engineering, - Neural Engineering, - Biomaterials Engineering</t>
  </si>
  <si>
    <t>Ceramic Sciences and Engineering.</t>
  </si>
  <si>
    <t>Instructional content is defined in code 14.0601.</t>
  </si>
  <si>
    <t>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t>
  </si>
  <si>
    <t>50.0711 - Ceramic Arts and Ceramics.</t>
  </si>
  <si>
    <t>Chemical Engineering.</t>
  </si>
  <si>
    <t>Instructional content for this group of programs is defined in codes 14.0701 - 14.0799.</t>
  </si>
  <si>
    <t>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t>
  </si>
  <si>
    <t>40.0501 - Chemistry, General.</t>
  </si>
  <si>
    <t>Chemical and Biomolecular Engineering.</t>
  </si>
  <si>
    <t>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t>
  </si>
  <si>
    <t>Chemical Engineering, Other.</t>
  </si>
  <si>
    <t>Any instructional program in chemical engineering not listed above.</t>
  </si>
  <si>
    <t>Civil Engineering.</t>
  </si>
  <si>
    <t>Instructional content for this group of programs is defined in codes 14.0801 - 14.0899.</t>
  </si>
  <si>
    <t>Civil Engineering, General.</t>
  </si>
  <si>
    <t>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t>
  </si>
  <si>
    <t>Geotechnical and Geoenvironmental Engineering.</t>
  </si>
  <si>
    <t>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t>
  </si>
  <si>
    <t>Examples: - Geotechnical Engineering, - Geoenvironmental Engineering, - Geotechnical and Geoenvironmental Engineering</t>
  </si>
  <si>
    <t>Structural Engineering.</t>
  </si>
  <si>
    <t>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t>
  </si>
  <si>
    <t>Transportation and Highway Engineering.</t>
  </si>
  <si>
    <t>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t>
  </si>
  <si>
    <t>Water Resources Engineering.</t>
  </si>
  <si>
    <t>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t>
  </si>
  <si>
    <t>40.0605 - Hydrology and Water Resources Science., 03.0205 - Water, Wetlands, and Marine Resources Management.</t>
  </si>
  <si>
    <t>Civil Engineering, Other.</t>
  </si>
  <si>
    <t>Any instructional program in civil engineering not listed above.</t>
  </si>
  <si>
    <t>Computer Engineering.</t>
  </si>
  <si>
    <t>Instructional content for this group of programs is defined in codes 14.0901 - 14.0999.</t>
  </si>
  <si>
    <t>Computer Engineering, General.</t>
  </si>
  <si>
    <t>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t>
  </si>
  <si>
    <t>11.0701 - Computer Science.</t>
  </si>
  <si>
    <t>Examples: - Computer Systems Engineering</t>
  </si>
  <si>
    <t>Computer Hardware Engineering.</t>
  </si>
  <si>
    <t>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t>
  </si>
  <si>
    <t>Computer Software Engineering.</t>
  </si>
  <si>
    <t>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t>
  </si>
  <si>
    <t>Computer Engineering, Other.</t>
  </si>
  <si>
    <t>Any instructional program in computer engineering not listed above.</t>
  </si>
  <si>
    <t>Examples: - Internet of Things</t>
  </si>
  <si>
    <t>Electrical, Electronics, and Communications Engineering.</t>
  </si>
  <si>
    <t>Instructional content for this group of programs is defined in codes 14.1001 - 14.1099.</t>
  </si>
  <si>
    <t>Electrical and Electronics Engineering.</t>
  </si>
  <si>
    <t>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t>
  </si>
  <si>
    <t>Examples: - Electrical Engineering, - Total Ship Systems Engineering, - Electrodynamic Engineering</t>
  </si>
  <si>
    <t>Laser and Optical Engineering.</t>
  </si>
  <si>
    <t>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t>
  </si>
  <si>
    <t>40.0807 - Optics/Optical Sciences.</t>
  </si>
  <si>
    <t>Examples: - Electro-Optic Engineering, - Optical Engineering</t>
  </si>
  <si>
    <t>Telecommunications Engineering.</t>
  </si>
  <si>
    <t>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t>
  </si>
  <si>
    <t>Examples: - Communications Systems Engineering</t>
  </si>
  <si>
    <t>Electrical, Electronics, and Communications Engineering, Other.</t>
  </si>
  <si>
    <t>Any instructional program in electrical, electronics, and communications engineering not listed above.</t>
  </si>
  <si>
    <t>Engineering Mechanics.</t>
  </si>
  <si>
    <t>Instructional content is defined in code 14.1101.</t>
  </si>
  <si>
    <t>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t>
  </si>
  <si>
    <t>Engineering Physics.</t>
  </si>
  <si>
    <t>Instructional content is defined in code 14.1201.</t>
  </si>
  <si>
    <t>Engineering Physics/Applied Physics.</t>
  </si>
  <si>
    <t>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t>
  </si>
  <si>
    <t>40.0801 - Physics, General.</t>
  </si>
  <si>
    <t>Examples: - Applied Physics, - Directed Energy/Laser Physics, - Semiconductor Physics</t>
  </si>
  <si>
    <t>Engineering Science.</t>
  </si>
  <si>
    <t>Instructional content is defined in code 14.1301.</t>
  </si>
  <si>
    <t>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t>
  </si>
  <si>
    <t>Environmental/Environmental Health Engineering.</t>
  </si>
  <si>
    <t>Instructional content is defined in code 14.1401.</t>
  </si>
  <si>
    <t>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t>
  </si>
  <si>
    <t>03.0103 - Environmental Studies., 03.0104 - Environmental Science.</t>
  </si>
  <si>
    <t>Examples: - Environmental Engineering, - Environmental Management Engineering</t>
  </si>
  <si>
    <t>Materials Engineering.</t>
  </si>
  <si>
    <t>Instructional content is defined in code 14.1801.</t>
  </si>
  <si>
    <t>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t>
  </si>
  <si>
    <t>40.1001 - Materials Science., 40.1002 - Materials Chemistry.</t>
  </si>
  <si>
    <t>Examples: - Materials Processing and Manufacturing, - Materials Science Engineering</t>
  </si>
  <si>
    <t>Mechanical Engineering.</t>
  </si>
  <si>
    <t>Instructional content is defined in code 14.1901.</t>
  </si>
  <si>
    <t>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t>
  </si>
  <si>
    <t>Metallurgical Engineering.</t>
  </si>
  <si>
    <t>Instructional content is defined in code 14.2001.</t>
  </si>
  <si>
    <t>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t>
  </si>
  <si>
    <t>Mining and Mineral Engineering.</t>
  </si>
  <si>
    <t>Instructional content is defined in code 14.2101.</t>
  </si>
  <si>
    <t>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</si>
  <si>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Naval Architecture and Marine Engineering.</t>
  </si>
  <si>
    <t>Instructional content is defined in code 14.2201.</t>
  </si>
  <si>
    <t>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t>
  </si>
  <si>
    <t>Nuclear Engineering.</t>
  </si>
  <si>
    <t>Instructional content is defined in code 14.2301.</t>
  </si>
  <si>
    <t>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t>
  </si>
  <si>
    <t>40.0806 - Nuclear Physics.</t>
  </si>
  <si>
    <t>Examples: - Nuclear Reactor Engineering, - Nuclear Fuels, - Nuclear Power Engineering, - Nuclear Radiation and Shielding, - Nuclear Instrumentation and Measurement</t>
  </si>
  <si>
    <t>Ocean Engineering.</t>
  </si>
  <si>
    <t>Instructional content is defined in code 14.2401.</t>
  </si>
  <si>
    <t>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t>
  </si>
  <si>
    <t>Petroleum Engineering.</t>
  </si>
  <si>
    <t>Instructional content is defined in code 14.2501.</t>
  </si>
  <si>
    <t>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t>
  </si>
  <si>
    <t>Systems Engineering.</t>
  </si>
  <si>
    <t>Instructional content is defined in code 14.2701.</t>
  </si>
  <si>
    <t>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t>
  </si>
  <si>
    <t>11.0501 - Computer Systems Analysis/Analyst., 30.0601 - Systems Science and Theory.</t>
  </si>
  <si>
    <t>Examples: - Product Development Engineering, - Logistics Engineering, - Systems Engineering Management, - Capability-Based Systems, - Decision Engineering, - Dynamical Systems</t>
  </si>
  <si>
    <t>Textile Sciences and Engineering.</t>
  </si>
  <si>
    <t>Instructional content is defined in code 14.2801. These CIP codes are not valid for IPEDS reporting.</t>
  </si>
  <si>
    <t>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t>
  </si>
  <si>
    <t>19.0904 - Textile Science.</t>
  </si>
  <si>
    <t>Polymer/Plastics Engineering.</t>
  </si>
  <si>
    <t>Instructional content is defined in code 14.3201.</t>
  </si>
  <si>
    <t>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t>
  </si>
  <si>
    <t>40.0507 - Polymer Chemistry.</t>
  </si>
  <si>
    <t>Construction Engineering.</t>
  </si>
  <si>
    <t>Instructional content is defined in code 14.3301.</t>
  </si>
  <si>
    <t>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t>
  </si>
  <si>
    <t>Examples: - Construction Engineering and Management</t>
  </si>
  <si>
    <t>Forest Engineering.</t>
  </si>
  <si>
    <t>Instructional content is defined in code 14.3401.</t>
  </si>
  <si>
    <t>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t>
  </si>
  <si>
    <t>03.0501 - Forestry, General.</t>
  </si>
  <si>
    <t>Industrial Engineering.</t>
  </si>
  <si>
    <t>Instructional content is defined in code 14.3501.</t>
  </si>
  <si>
    <t>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t>
  </si>
  <si>
    <t>Examples: - Ergonomics Engineering, - Human Factors Engineering</t>
  </si>
  <si>
    <t>Manufacturing Engineering.</t>
  </si>
  <si>
    <t>Instructional content is defined in code 14.3601.</t>
  </si>
  <si>
    <t>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t>
  </si>
  <si>
    <t>Operations Research.</t>
  </si>
  <si>
    <t>Instructional content is defined in code 14.3701.</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</si>
  <si>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t>
  </si>
  <si>
    <t>Examples: - Decision Support Systems, - Decision Analysis, - Operations Analysis, - Operational Sciences</t>
  </si>
  <si>
    <t>Surveying Engineering.</t>
  </si>
  <si>
    <t>Instructional content is defined in code 14.3801.</t>
  </si>
  <si>
    <t>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t>
  </si>
  <si>
    <t>Geological/Geophysical Engineering.</t>
  </si>
  <si>
    <t>Instructional content is defined in code 14.3901.</t>
  </si>
  <si>
    <t>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t>
  </si>
  <si>
    <t>40.0601 - Geology/Earth Science, General.</t>
  </si>
  <si>
    <t>Paper Science and Engineering.</t>
  </si>
  <si>
    <t>Instructional content is defined in code 14.4001.</t>
  </si>
  <si>
    <t>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t>
  </si>
  <si>
    <t>03.0509 - Wood Science and Wood Products/Pulp and Paper Technology/Technician.</t>
  </si>
  <si>
    <t>Examples: - Paper Science, - Paper Science Engineering, - Pulp and Paper Science, - Wood and Paper Science</t>
  </si>
  <si>
    <t>Electromechanical Engineering.</t>
  </si>
  <si>
    <t>Instructional content is defined in code 14.4101.</t>
  </si>
  <si>
    <t>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t>
  </si>
  <si>
    <t>Mechatronics, Robotics, and Automation Engineering.</t>
  </si>
  <si>
    <t>Instructional content is defined in code 14.4201.</t>
  </si>
  <si>
    <t>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t>
  </si>
  <si>
    <t>11.0102 - Artificial Intelligence.</t>
  </si>
  <si>
    <t>Biochemical Engineering.</t>
  </si>
  <si>
    <t>Instructional content is defined in code 14.4301.</t>
  </si>
  <si>
    <t>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t>
  </si>
  <si>
    <t>Examples: - Biochemical Engineering, - Chemical and Biochemical Engineering</t>
  </si>
  <si>
    <t>Engineering Chemistry.</t>
  </si>
  <si>
    <t>Instructional content is defined in code 14.4401.</t>
  </si>
  <si>
    <t>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t>
  </si>
  <si>
    <t>Biological/Biosystems Engineering.</t>
  </si>
  <si>
    <t>Instructional content is defined in code 14.4501.</t>
  </si>
  <si>
    <t>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t>
  </si>
  <si>
    <t>Examples: - Biological Engineering, - Biosystems Engineering, - Biological Systems Engineering, - Biomass Engineering, - Biological/Biosystems Engineering</t>
  </si>
  <si>
    <t>Electrical and Computer Engineering.</t>
  </si>
  <si>
    <t>Instructional content is defined in code 14.4701.</t>
  </si>
  <si>
    <t>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t>
  </si>
  <si>
    <t>Energy Systems Engineering.</t>
  </si>
  <si>
    <t>Instructional content for this group of programs is defined in codes 14.4801 - 14.4899.</t>
  </si>
  <si>
    <t>Energy Systems Engineering, General.</t>
  </si>
  <si>
    <t>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t>
  </si>
  <si>
    <t>15.1701 - Energy Systems Technology/Technician., 03.0210 - Bioenergy.</t>
  </si>
  <si>
    <t>Examples: - Sustainable/Renewable Energy Engineering</t>
  </si>
  <si>
    <t>Power Plant Engineering.</t>
  </si>
  <si>
    <t>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t>
  </si>
  <si>
    <t>15.1702 - Power Plant Technology/Technician.</t>
  </si>
  <si>
    <t>Energy Systems Engineering, Other.</t>
  </si>
  <si>
    <t>Any instructional program in energy systems engineering not listed above.</t>
  </si>
  <si>
    <t>Engineering, Other.</t>
  </si>
  <si>
    <t>Instructional content is defined in code 14.9999.</t>
  </si>
  <si>
    <t>Any instructional program in engineering not listed above.</t>
  </si>
  <si>
    <t>ENGINEERING/ENGINEERING-RELATED TECHNOLOGIES/TECHNICIANS.</t>
  </si>
  <si>
    <t>Instructional programs that prepare individuals to apply basic engineering principles and technical skills in support of engineering and related projects or to prepare for engineering-related fields.</t>
  </si>
  <si>
    <t>Engineering Technologies/Technicians, General.</t>
  </si>
  <si>
    <t>Instructional content for this group of programs is defined in codes 15.0000 - 15.0001.</t>
  </si>
  <si>
    <t>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t>
  </si>
  <si>
    <t>Applied Engineering Technologies/Technicians.</t>
  </si>
  <si>
    <t>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</si>
  <si>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Examples: - Applied Engineering</t>
  </si>
  <si>
    <t>Architectural Engineering Technologies/Technicians.</t>
  </si>
  <si>
    <t>Instructional content is defined in code 15.0101.</t>
  </si>
  <si>
    <t>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t>
  </si>
  <si>
    <t>Civil Engineering Technologies/Technicians.</t>
  </si>
  <si>
    <t>Instructional content is defined in code 15.0201.</t>
  </si>
  <si>
    <t>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t>
  </si>
  <si>
    <t>Electrical/Electronic Engineering Technologies/Technicians.</t>
  </si>
  <si>
    <t>Instructional content for this group of programs is defined in codes 15.0303 - 15.0399.</t>
  </si>
  <si>
    <t>Electrical, Electronic, and Communications Engineering Technology/Technician.</t>
  </si>
  <si>
    <t>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t>
  </si>
  <si>
    <t>46.0302 - Electrician.</t>
  </si>
  <si>
    <t>Examples: - Electronics Technician, - Consumer Product Electronics Technician</t>
  </si>
  <si>
    <t>Laser and Optical Technology/Technician.</t>
  </si>
  <si>
    <t>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t>
  </si>
  <si>
    <t>Examples: - Photonics Engineering Technology</t>
  </si>
  <si>
    <t>Telecommunications Technology/Technician.</t>
  </si>
  <si>
    <t>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t>
  </si>
  <si>
    <t>Examples: - Wireless Communications Technician, - Telecommunications Engineering Technology/Technician</t>
  </si>
  <si>
    <t>Integrated Circuit Design Technology/Technician.</t>
  </si>
  <si>
    <t>A program that prepares individuals to apply basic engineering principles and technical skills to design circuits in microelectronics. Includes instruction in circuit design, circuit layout, circuit analysis, computer-aided drafting, and semi-conductor technologies.</t>
  </si>
  <si>
    <t>Examples: - Integrated Circuit Design, - Integrated Circuit Design and Layout, - Microcircuit Mask Design</t>
  </si>
  <si>
    <t>Audio Engineering Technology/Technician.</t>
  </si>
  <si>
    <t>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t>
  </si>
  <si>
    <t>Electrical/Electronic Engineering Technologies/Technicians, Other.</t>
  </si>
  <si>
    <t>Any instructional program in electrical and electronic engineering-related technologies not listed above.</t>
  </si>
  <si>
    <t>Examples: - Microelectronics Technology</t>
  </si>
  <si>
    <t>Electromechanical Technologies/Technicians.</t>
  </si>
  <si>
    <t>Instructional content for this group of programs is defined in codes 15.0401 - 15.0499.</t>
  </si>
  <si>
    <t>Biomedical Technology/Technician.</t>
  </si>
  <si>
    <t>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t>
  </si>
  <si>
    <t>Examples: - Bioengineering Technology</t>
  </si>
  <si>
    <t>Electromechanical/Electromechanical Engineering Technology/Technician.</t>
  </si>
  <si>
    <t>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t>
  </si>
  <si>
    <t>Instrumentation Technology/Technician.</t>
  </si>
  <si>
    <t>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t>
  </si>
  <si>
    <t>Examples: - Industrial Instrument Mechanic, - Instrumentation and Control Technician</t>
  </si>
  <si>
    <t>Robotics Technology/Technician.</t>
  </si>
  <si>
    <t>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t>
  </si>
  <si>
    <t>Automation Engineer Technology/Technician.</t>
  </si>
  <si>
    <t>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t>
  </si>
  <si>
    <t>Mechatronics, Robotics, and Automation Engineering Technology/Technician.</t>
  </si>
  <si>
    <t>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t>
  </si>
  <si>
    <t>Electromechanical Technologies/Technicians, Other.</t>
  </si>
  <si>
    <t>Any instructional program in electromechanical technologies not listed above.</t>
  </si>
  <si>
    <t>Environmental Control Technologies/Technicians.</t>
  </si>
  <si>
    <t>Instructional content for this group of programs is defined in codes 15.0501 - 15.0599.</t>
  </si>
  <si>
    <t>Heating, Ventilation, Air Conditioning and Refrigeration Engineering Technology/Technician.</t>
  </si>
  <si>
    <t>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t>
  </si>
  <si>
    <t>47.0201 - Heating, Air Conditioning, Ventilation and Refrigeration Maintenance Technology/Technician.</t>
  </si>
  <si>
    <t>Examples: - Air Conditioning and Heating (ACH), - Air Conditioning and Refrigeration (ACR), - Air Conditioning, Heating and Refrigeration (ACHR), - Heating, Refrigeration and Air Conditioning (HRAC), - Heating,  Ventilation, and Air Conditioning (HVAC), - Heating, Ventilation, Air Conditioning and Refrigeration (HVAC/R), - Air Conditioning Technology</t>
  </si>
  <si>
    <t>Energy Management and Systems Technology/Technician.</t>
  </si>
  <si>
    <t>Moved from 15.0503 to 15.1701</t>
  </si>
  <si>
    <t>Solar Energy Technology/Technician.</t>
  </si>
  <si>
    <t>Moved from 15.0505 to 15.1703</t>
  </si>
  <si>
    <t>Water Quality and Wastewater Treatment Management and Recycling Technology/Technician.</t>
  </si>
  <si>
    <t>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t>
  </si>
  <si>
    <t>Environmental/Environmental Engineering Technology/Technician.</t>
  </si>
  <si>
    <t>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t>
  </si>
  <si>
    <t>Hazardous Materials Management and Waste Technology/Technician.</t>
  </si>
  <si>
    <t>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t>
  </si>
  <si>
    <t>Environmental Control Technologies/Technicians, Other.</t>
  </si>
  <si>
    <t>Any instructional program in environmental control technologies not listed above.</t>
  </si>
  <si>
    <t>Industrial Production Technologies/Technicians.</t>
  </si>
  <si>
    <t>Instructional content for this group of programs is defined in codes 15.0607 - 15.0699.</t>
  </si>
  <si>
    <t>Plastics and Polymer Engineering Technology/Technician.</t>
  </si>
  <si>
    <t>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t>
  </si>
  <si>
    <t>Metallurgical Technology/Technician.</t>
  </si>
  <si>
    <t>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t>
  </si>
  <si>
    <t>Industrial Technology/Technician.</t>
  </si>
  <si>
    <t>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t>
  </si>
  <si>
    <t>Manufacturing Engineering Technology/Technician.</t>
  </si>
  <si>
    <t>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t>
  </si>
  <si>
    <t>Welding Engineering Technology/Technician.</t>
  </si>
  <si>
    <t>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t>
  </si>
  <si>
    <t>48.0508 - Welding Technology/Welder.</t>
  </si>
  <si>
    <t>Chemical Engineering Technology/Technician.</t>
  </si>
  <si>
    <t>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t>
  </si>
  <si>
    <t>Semiconductor Manufacturing Technology/Technician.</t>
  </si>
  <si>
    <t>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t>
  </si>
  <si>
    <t>Composite Materials Technology/Technician.</t>
  </si>
  <si>
    <t>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t>
  </si>
  <si>
    <t>Industrial Production Technologies/Technicians, Other.</t>
  </si>
  <si>
    <t>Any instructional program in industrial production technologies not listed above.</t>
  </si>
  <si>
    <t>Quality Control and Safety Technologies/Technicians.</t>
  </si>
  <si>
    <t>Instructional content for this group of programs is defined in codes 15.0701 - 15.0799.</t>
  </si>
  <si>
    <t>Occupational Safety and Health Technology/Technician.</t>
  </si>
  <si>
    <t>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t>
  </si>
  <si>
    <t>Quality Control Technology/Technician.</t>
  </si>
  <si>
    <t>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t>
  </si>
  <si>
    <t>Industrial Safety Technology/Technician.</t>
  </si>
  <si>
    <t>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t>
  </si>
  <si>
    <t>Hazardous Materials Information Systems Technology/Technician.</t>
  </si>
  <si>
    <t>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t>
  </si>
  <si>
    <t>Process Safety Technology/Technician.</t>
  </si>
  <si>
    <t>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t>
  </si>
  <si>
    <t>Quality Control and Safety Technologies/Technicians, Other.</t>
  </si>
  <si>
    <t>Any instructional program in quality control and safety technologies not listed above.</t>
  </si>
  <si>
    <t>Examples: - Non-Destructive Testing Technology</t>
  </si>
  <si>
    <t>Mechanical Engineering Related Technologies/Technicians.</t>
  </si>
  <si>
    <t>Instructional content for this group of programs is defined in codes 15.0801 - 15.0899.</t>
  </si>
  <si>
    <t>Aeronautical/Aerospace Engineering Technology/Technician.</t>
  </si>
  <si>
    <t>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t>
  </si>
  <si>
    <t>47.0609 - Avionics Maintenance Technology/Technician.</t>
  </si>
  <si>
    <t>Automotive Engineering Technology/Technician.</t>
  </si>
  <si>
    <t>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t>
  </si>
  <si>
    <t>47.0604 - Automobile/Automotive Mechanics Technology/Technician.</t>
  </si>
  <si>
    <t>Mechanical/Mechanical Engineering Technology/Technician.</t>
  </si>
  <si>
    <t>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t>
  </si>
  <si>
    <t>Marine Engineering Technology/Technician.</t>
  </si>
  <si>
    <t>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t>
  </si>
  <si>
    <t>48.0704 - Wooden Boatbuilding Technology/Technician.</t>
  </si>
  <si>
    <t>Motorsports Engineering Technology/Technician.</t>
  </si>
  <si>
    <t>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t>
  </si>
  <si>
    <t>Mechanical Engineering Related Technologies/Technicians, Other.</t>
  </si>
  <si>
    <t>Any instructional program in mechanical engineering-related technologies not listed above.</t>
  </si>
  <si>
    <t>Mining and Petroleum Technologies/Technicians.</t>
  </si>
  <si>
    <t>Instructional content for this group of programs is defined in codes 15.0901 - 15.0999.</t>
  </si>
  <si>
    <t>Mining Technology/Technician.</t>
  </si>
  <si>
    <t>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t>
  </si>
  <si>
    <t>Petroleum Technology/Technician.</t>
  </si>
  <si>
    <t>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t>
  </si>
  <si>
    <t>Mining and Petroleum Technologies/Technicians, Other.</t>
  </si>
  <si>
    <t>Any instructional program in mining and petroleum engineering technologies not listed above.</t>
  </si>
  <si>
    <t>Construction Engineering Technology/Technician.</t>
  </si>
  <si>
    <t>Instructional content is defined in code 15.1001.</t>
  </si>
  <si>
    <t>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t>
  </si>
  <si>
    <t>Engineering-Related Technologies/Technicians.</t>
  </si>
  <si>
    <t>Instructional content for this group of programs is defined in codes 15.1102 - 15.1199.</t>
  </si>
  <si>
    <t>Surveying Technology/Surveying.</t>
  </si>
  <si>
    <t>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t>
  </si>
  <si>
    <t>Hydraulics and Fluid Power Technology/Technician.</t>
  </si>
  <si>
    <t>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t>
  </si>
  <si>
    <t>Engineering-Related Technologies/Technicians, Other.</t>
  </si>
  <si>
    <t>Any programs in engineering-related technologies and technicians not listed above.</t>
  </si>
  <si>
    <t>Computer Engineering Technologies/Technicians.</t>
  </si>
  <si>
    <t>Instructional content for this group of programs is defined in codes 15.1201 - 15.1299.</t>
  </si>
  <si>
    <t>Computer Engineering Technology/Technician.</t>
  </si>
  <si>
    <t>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t>
  </si>
  <si>
    <t>Computer/Computer Systems Technology/Technician.</t>
  </si>
  <si>
    <t>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t>
  </si>
  <si>
    <t>47.0104 - Computer Installation and Repair Technology/Technician.</t>
  </si>
  <si>
    <t>Computer Hardware Technology/Technician.</t>
  </si>
  <si>
    <t>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t>
  </si>
  <si>
    <t>Computer Software Technology/Technician.</t>
  </si>
  <si>
    <t>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t>
  </si>
  <si>
    <t>Computer Engineering Technologies/Technicians, Other.</t>
  </si>
  <si>
    <t>Any instructional program in computer engineering technologies not listed above.</t>
  </si>
  <si>
    <t>Drafting/Design Engineering Technologies/Technicians.</t>
  </si>
  <si>
    <t>Instructional content for this group of programs is defined in codes 15.1301 - 15.1399.</t>
  </si>
  <si>
    <t>Drafting and Design Technology/Technician, General.</t>
  </si>
  <si>
    <t>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t>
  </si>
  <si>
    <t>CAD/CADD Drafting and/or Design Technology/Technician.</t>
  </si>
  <si>
    <t>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t>
  </si>
  <si>
    <t>Examples: - Engineering Graphics and Design, - Engineering Graphics Technology</t>
  </si>
  <si>
    <t>Architectural Drafting and Architectural CAD/CADD.</t>
  </si>
  <si>
    <t>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t>
  </si>
  <si>
    <t>04.0901 - Architectural Technology/Technician., 04.0201 - Architecture.</t>
  </si>
  <si>
    <t>Civil Drafting and Civil Engineering CAD/CADD.</t>
  </si>
  <si>
    <t>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t>
  </si>
  <si>
    <t>Electrical/Electronics Drafting and Electrical/Electronics CAD/CADD.</t>
  </si>
  <si>
    <t>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t>
  </si>
  <si>
    <t>Mechanical Drafting and Mechanical Drafting CAD/CADD.</t>
  </si>
  <si>
    <t>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t>
  </si>
  <si>
    <t>3-D Modeling and Design Technology/Technician.</t>
  </si>
  <si>
    <t>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t>
  </si>
  <si>
    <t>Drafting/Design Engineering Technologies/Technicians, Other.</t>
  </si>
  <si>
    <t>Any instructional program in drafting/design engineering technologies not listed above.</t>
  </si>
  <si>
    <t>Nuclear Engineering Technology/Technician.</t>
  </si>
  <si>
    <t>Instructional content is defined in code 15.1401.</t>
  </si>
  <si>
    <t>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t>
  </si>
  <si>
    <t>Engineering-Related Fields.</t>
  </si>
  <si>
    <t>Instructional content for this group of programs is defined in codes 15.1501 - 15.1599.</t>
  </si>
  <si>
    <t>Engineering/Industrial Management.</t>
  </si>
  <si>
    <t>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t>
  </si>
  <si>
    <t>Engineering Design.</t>
  </si>
  <si>
    <t>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t>
  </si>
  <si>
    <t>Packaging Science.</t>
  </si>
  <si>
    <t>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t>
  </si>
  <si>
    <t>Engineering-Related Fields, Other.</t>
  </si>
  <si>
    <t>Any instructional program in engineering-related fields not listed above.</t>
  </si>
  <si>
    <t>Nanotechnology.</t>
  </si>
  <si>
    <t>Instructional content is defined in code 15.1601.</t>
  </si>
  <si>
    <t>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t>
  </si>
  <si>
    <t>Examples: - Nanofabrication Technology, - Nanoscience Technician</t>
  </si>
  <si>
    <t>Energy Systems Technologies/Technicians.</t>
  </si>
  <si>
    <t>Instructional content for this group of programs is defined in codes 15.1701 - 15.1799.</t>
  </si>
  <si>
    <t>Energy Systems Technology/Technician.</t>
  </si>
  <si>
    <t>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t>
  </si>
  <si>
    <t>03.0209 - Energy and Environmental Policy., 03.0210 - Bioenergy., 14.4801 - Energy Systems Engineering, General., 47.0701 - Energy Systems Installation and Repair Technology/Technician.</t>
  </si>
  <si>
    <t>Examples: - Energy Management and Systems Technology/Technician</t>
  </si>
  <si>
    <t>Power Plant Technology/Technician.</t>
  </si>
  <si>
    <t>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t>
  </si>
  <si>
    <t>14.4802 - Power Plant Engineering.</t>
  </si>
  <si>
    <t>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t>
  </si>
  <si>
    <t>47.0703 - Solar Energy System Installation and Repair Technology/Technician.</t>
  </si>
  <si>
    <t>Wind Energy Technology/Technician.</t>
  </si>
  <si>
    <t>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t>
  </si>
  <si>
    <t>47.0704 - Wind Energy System Installation and Repair Technology/Technician.</t>
  </si>
  <si>
    <t>Examples: - Wind Turbine Technology/Technician</t>
  </si>
  <si>
    <t>Hydroelectric Energy Technology/Technician.</t>
  </si>
  <si>
    <t>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t>
  </si>
  <si>
    <t>47.0705 - Hydroelectric Energy System Installation and Repair Technology/Technician.</t>
  </si>
  <si>
    <t>Geothermal Energy Technology/Technician.</t>
  </si>
  <si>
    <t>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t>
  </si>
  <si>
    <t>47.0706 - Geothermal Energy System Installation and Repair Technology/Technician.</t>
  </si>
  <si>
    <t>Energy Systems Technologies/Technicians, Other.</t>
  </si>
  <si>
    <t>Any instructional program in energy systems technologies not listed above.</t>
  </si>
  <si>
    <t>47.0799 - Energy Systems Maintenance and Repair Technologies/Technicians, Other.</t>
  </si>
  <si>
    <t>Engineering/Engineering-Related Technologies/Technicians, Other.</t>
  </si>
  <si>
    <t>Instructional content is defined in code 15.9999.</t>
  </si>
  <si>
    <t>Any instructional program in engineering technologies and engineering-related fields not listed above.</t>
  </si>
  <si>
    <t>Examples: - Product Design Engineering Technology</t>
  </si>
  <si>
    <t>FOREIGN LANGUAGES, LITERATURES, AND LINGUISTICS.</t>
  </si>
  <si>
    <t>Instructional programs that focus on foreign languages and literatures, the humanistic and scientific study of linguistics, and the provision of professional interpretation and translation services.</t>
  </si>
  <si>
    <t>Linguistic, Comparative, and Related Language Studies and Services.</t>
  </si>
  <si>
    <t>Instructional content for this group of programs is defined in codes 16.0101 - 16.0199.</t>
  </si>
  <si>
    <t>Foreign Languages and Literatures, General.</t>
  </si>
  <si>
    <t>A general program that focuses on one or more modern foreign languages that is not specific as to the name of the language(s) studied; that is otherwise undifferentiated; or that introduces students to language studies at the basic/elementary level.</t>
  </si>
  <si>
    <t>30.4001 - Economics and Foreign Language/Literature., 30.4501 - History and Language/Literature.</t>
  </si>
  <si>
    <t>Linguistics.</t>
  </si>
  <si>
    <t>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t>
  </si>
  <si>
    <t>16.1602 - Linguistics of ASL and Other Sign Languages., 30.4801 - Linguistics and Computer Science., 30.4701 - Linguistics and Anthropology.</t>
  </si>
  <si>
    <t>Language Interpretation and Translation.</t>
  </si>
  <si>
    <t>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t>
  </si>
  <si>
    <t>16.1603 - Sign Language Interpretation and Translation.</t>
  </si>
  <si>
    <t>Comparative Literature.</t>
  </si>
  <si>
    <t>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t>
  </si>
  <si>
    <t>23.1401 - General Literature., 30.2601 - Cultural Studies/Critical Theory and Analysis., 30.3601 - Cultural Studies and Comparative Literature.</t>
  </si>
  <si>
    <t>Applied Linguistics.</t>
  </si>
  <si>
    <t>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t>
  </si>
  <si>
    <t>Linguistic, Comparative, and Related Language Studies and Services, Other.</t>
  </si>
  <si>
    <t>Any instructional program in linguistic, comparative, and related language studies and services not listed above.</t>
  </si>
  <si>
    <t>African Languages, Literatures, and Linguistics.</t>
  </si>
  <si>
    <t>Instructional content is defined in code 16.0201.</t>
  </si>
  <si>
    <t>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t>
  </si>
  <si>
    <t>East Asian Languages, Literatures, and Linguistics.</t>
  </si>
  <si>
    <t>Instructional content for this group of programs is defined in codes 16.0300 - 16.0399.</t>
  </si>
  <si>
    <t>East Asian Languages, Literatures, and Linguistics, General.</t>
  </si>
  <si>
    <t>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t>
  </si>
  <si>
    <t>Chinese Language and Literature.</t>
  </si>
  <si>
    <t>A program that focuses on the languages of China and associated dialects and literature. Includes instruction in philology; linguistics; dialects and pidgins; and applications to business, science/technology, and other settings.</t>
  </si>
  <si>
    <t>Japanese Language and Literature.</t>
  </si>
  <si>
    <t>A program that focuses on the Japanese language. Includes instruction in philology; Ancient, Medieval, and Modern Japanese; dialects; and applications to business, science/technology, and other settings.</t>
  </si>
  <si>
    <t>Korean Language and Literature.</t>
  </si>
  <si>
    <t>A program that focuses on the Korean language. Includes instruction in philology; dialects; and applications to business, science/technology, and other settings.</t>
  </si>
  <si>
    <t>Tibetan Language and Literature.</t>
  </si>
  <si>
    <t>A program that focuses on the Tibetan language. Includes instruction in philology; secular and religious Tibetan; dialects; and applications to business, science/technology, Buddhist studies, and other settings.</t>
  </si>
  <si>
    <t>East Asian Languages, Literatures, and Linguistics, Other.</t>
  </si>
  <si>
    <t>Any instructional program in East Asian languages, literatures, and linguistics not listed above.</t>
  </si>
  <si>
    <t>Slavic, Baltic and Albanian Languages, Literatures, and Linguistics.</t>
  </si>
  <si>
    <t>Instructional content for this group of programs is defined in codes 16.0400 - 16.0499.</t>
  </si>
  <si>
    <t>Slavic Languages, Literatures, and Linguistics, General.</t>
  </si>
  <si>
    <t>A general program that focuses on one or more of the Slavic languages of Central and Eastern Europe.  Includes instruction in philology; linguistics; dialects and pidgins; literature; and applications to business, science/technology, and other settings.</t>
  </si>
  <si>
    <t>Baltic Languages, Literatures, and Linguistics.</t>
  </si>
  <si>
    <t>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t>
  </si>
  <si>
    <t>Russian Language and Literature.</t>
  </si>
  <si>
    <t>A program that focuses on the Russian language. Includes instruction in philology; dialects; literature; and applications to business, science/technology, and other settings.</t>
  </si>
  <si>
    <t>Albanian Language and Literature.</t>
  </si>
  <si>
    <t>A program that focuses on the Albanian language. Includes instruction in Albanian/Illyrian philology; Ghegg and Tosk dialects; and applications to business, science/technology, and other settings.</t>
  </si>
  <si>
    <t>Bulgarian Language and Literature.</t>
  </si>
  <si>
    <t>A program that focuses on the Bulgarian language.  Includes instruction in philology; literature; and applications to business, science/technology, and other settings.</t>
  </si>
  <si>
    <t>Czech Language and Literature.</t>
  </si>
  <si>
    <t>A program that focuses on the Czech language.  Includes instruction in philology; literature; and applications to business, science/technology, and other settings.</t>
  </si>
  <si>
    <t>Polish Language and Literature.</t>
  </si>
  <si>
    <t>A program that focuses on the Polish language.  Includes instruction in philology; dialects; literature; and applications to business, science/technology, and other settings.</t>
  </si>
  <si>
    <t>Bosnian, Serbian, and Croatian Languages and Literatures.</t>
  </si>
  <si>
    <t>A program that focuses on the Bosnian, Serbian and/or Croatian languages. Includes instruction in philology; dialects; and applications to business, science/technology, and other settings.</t>
  </si>
  <si>
    <t>Slovak Language and Literature.</t>
  </si>
  <si>
    <t>A program that focuses on the Slovak language.  Includes instruction in philology; dialects; literature; and applications to business, science/technology, and other settings.</t>
  </si>
  <si>
    <t>Ukrainian Language and Literature.</t>
  </si>
  <si>
    <t>A program that focuses on the Ukrainian language.  Includes instruction in philology; dialects; literature; and applications to business, science/technology, and other settings.</t>
  </si>
  <si>
    <t>Slavic, Baltic, and Albanian Languages, Literatures, and Linguistics, Other.</t>
  </si>
  <si>
    <t>A program that focuses on Slavic languages, literatures, and linguistics not listed above.</t>
  </si>
  <si>
    <t>Germanic Languages, Literatures, and Linguistics.</t>
  </si>
  <si>
    <t>Instructional content for this group of programs is defined in codes 16.0500 - 16.0599.</t>
  </si>
  <si>
    <t>Germanic Languages, Literatures, and Linguistics, General.</t>
  </si>
  <si>
    <t>A general program that focuses on one or more of the Germanic languages of Western, Central, and Northern Europe.  Includes instruction in philology; linguistics; dialects and pidgins; literature; and applications to business, science/technology, and other settings.</t>
  </si>
  <si>
    <t>German Language and Literature.</t>
  </si>
  <si>
    <t>A program that focuses on the German language and related dialects. Includes instruction in philology; dialects; and applications to business, science/technology, and other settings.</t>
  </si>
  <si>
    <t>Scandinavian Languages, Literatures, and Linguistics.</t>
  </si>
  <si>
    <t>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t>
  </si>
  <si>
    <t>Danish Language and Literature.</t>
  </si>
  <si>
    <t>A program that focuses on the Danish language and related dialects. Includes instruction in philology; literature; and applications to business, science/technology, and other settings.</t>
  </si>
  <si>
    <t>Dutch/Flemish Language and Literature.</t>
  </si>
  <si>
    <t>A program that focuses on the Dutch language and related dialects. Includes instruction in philology; literature; Dutch Creoles; and applications to business, science/technology, and other settings.</t>
  </si>
  <si>
    <t>Norwegian Language and Literature.</t>
  </si>
  <si>
    <t>A program that focuses on the Norwegian language and related dialects. Includes instruction in philology; dialects; literature; and applications to business, science/technology, and other settings.</t>
  </si>
  <si>
    <t>Swedish Language and Literature.</t>
  </si>
  <si>
    <t>A program that focuses on the Swedish language and related dialects. Includes instruction in philology; literature; and applications to business, science/technology, and other settings.</t>
  </si>
  <si>
    <t>Germanic Languages, Literatures, and Linguistics, Other.</t>
  </si>
  <si>
    <t>Any instructional program in Germanic languages, literatures, and linguistics not listed above.</t>
  </si>
  <si>
    <t>Modern Greek Language and Literature.</t>
  </si>
  <si>
    <t>Instructional content is defined in code 16.0601.</t>
  </si>
  <si>
    <t>A program that focuses on the development and use of the Greek language in the period dating from the late 15th century to the present.  Includes instruction in modern Greek literature, current Greek dialects, and applications to business, science/technology, and other settings.</t>
  </si>
  <si>
    <t>South Asian Languages, Literatures, and Linguistics.</t>
  </si>
  <si>
    <t>Instructional content for this group of programs is defined in codes 16.0700 - 16.0799.</t>
  </si>
  <si>
    <t>South Asian Languages, Literatures, and Linguistics, General.</t>
  </si>
  <si>
    <t>A general program that focuses on one or more of the languages, literatures, and linguistics of the peoples of the Indian subcontinent and associated borderlands and island groups.</t>
  </si>
  <si>
    <t>Hindi Language and Literature.</t>
  </si>
  <si>
    <t>A program that focuses on the Hindi language, antecessors, and related dialects. Includes instruction in philology; Modern Hindi; Hindustani; related dialects; and applications in business, science/technology, and other settings.</t>
  </si>
  <si>
    <t>Sanskrit and Classical Indian Languages, Literatures, and Linguistics.</t>
  </si>
  <si>
    <t>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t>
  </si>
  <si>
    <t>Bengali Language and Literature.</t>
  </si>
  <si>
    <t>A program that focuses on the Bengali language (Bangla) and related dialects. Includes instruction in philology; dialects; and applications in business, science/technology, and other settings.</t>
  </si>
  <si>
    <t>Punjabi Language and Literature.</t>
  </si>
  <si>
    <t>A program that focuses on the Punjabi language (Punjabi) and related dialects. Includes instruction in philology; dialects; and applications in business, science/technology, and other settings.</t>
  </si>
  <si>
    <t>Tamil Language and Literature.</t>
  </si>
  <si>
    <t>A program that focuses on the Tamil language and related dialects. Includes instruction in philology; Classical and Modern Tamil; dialects; and applications in business, science/technology, and other settings.</t>
  </si>
  <si>
    <t>Urdu Language and Literature.</t>
  </si>
  <si>
    <t>A program that focuses on the Urdu language and related dialects. Includes instruction in philology; Modern Urdu; dialects; and applications in business, science/technology, and other settings.</t>
  </si>
  <si>
    <t>South Asian Languages, Literatures, and Linguistics, Other.</t>
  </si>
  <si>
    <t>Any instructional program in South Asian languages, literatures, and linguistics not listed above.</t>
  </si>
  <si>
    <t>Iranian/Persian Languages, Literatures, and Linguistics.</t>
  </si>
  <si>
    <t>Instructional content is defined in code 16.0801.</t>
  </si>
  <si>
    <t>Iranian Languages, Literatures, and Linguistics.</t>
  </si>
  <si>
    <t>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t>
  </si>
  <si>
    <t>Romance Languages, Literatures, and Linguistics.</t>
  </si>
  <si>
    <t>Instructional content for this group of programs is defined in codes 16.0900 - 16.0999.</t>
  </si>
  <si>
    <t>Romance Languages, Literatures, and Linguistics, General.</t>
  </si>
  <si>
    <t>A general program that focuses on one or more of the Romance languages of Western, Central, and Southern Europe.  Includes instruction in philology; linguistics; dialects and pidgins; literature; and applications to business, science/technology, and other settings.</t>
  </si>
  <si>
    <t>French Language and Literature.</t>
  </si>
  <si>
    <t>A program that focuses on the French language and related dialects and creoles. Includes instruction in philology; Metropolitan French; Canadian French; African and Caribbean Creoles; dialects; and applications in business, science/technology, and other settings.</t>
  </si>
  <si>
    <t>Italian Language and Literature.</t>
  </si>
  <si>
    <t>A program that focuses on the Italian language and related dialects. Includes instruction in philology; dialects; and applications in business, science/technology, and other settings.</t>
  </si>
  <si>
    <t>Portuguese Language and Literature.</t>
  </si>
  <si>
    <t>A program that focuses on the Portuguese language and related dialects. Includes instruction in philology; Metropolitan Portuguese; Luso-Brazilian Portuguese; dialects; and applications in business, science/technology, and other settings.</t>
  </si>
  <si>
    <t>Spanish Language and Literature.</t>
  </si>
  <si>
    <t>A program that focuses on the Spanish language and related dialects. Includes instruction in philology; Modern Castillan; Latin American and regional Spanish dialects; and applications in business, science/technology, and other settings.</t>
  </si>
  <si>
    <t>Romanian Language and Literature.</t>
  </si>
  <si>
    <t>A program that focuses on the Romanian language and related dialects. Includes instruction in philology; dialects; and applications in business, science/technology, and other settings.</t>
  </si>
  <si>
    <t>Catalan Language and Literature.</t>
  </si>
  <si>
    <t>A program that focuses on the Catalan language and related dialects. Includes instruction in philology; dialects; and applications in business, science/technology, and other settings.</t>
  </si>
  <si>
    <t>Hispanic and Latin American Languages, Literatures, and Linguistics, General.</t>
  </si>
  <si>
    <t>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t>
  </si>
  <si>
    <t>Romance Languages, Literatures, and Linguistics, Other.</t>
  </si>
  <si>
    <t>Any instructional program in Romance languages, literatures, and linguistics not listed above.</t>
  </si>
  <si>
    <t>American Indian/Native American Languages, Literatures, and Linguistics.</t>
  </si>
  <si>
    <t>Instructional content is defined in code 16.1001.</t>
  </si>
  <si>
    <t>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t>
  </si>
  <si>
    <t>Middle/Near Eastern and Semitic Languages, Literatures, and Linguistics.</t>
  </si>
  <si>
    <t>Instructional content for this group of programs is defined in codes 16.1100 - 16.1199.</t>
  </si>
  <si>
    <t>Middle/Near Eastern and Semitic Languages, Literatures, and Linguistics, General.</t>
  </si>
  <si>
    <t>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t>
  </si>
  <si>
    <t>Arabic Language and Literature.</t>
  </si>
  <si>
    <t>A program that focuses on the Arabic language. Includes instruction in philology; Classical Arabic; Modern Standard Arabic; dialects; and applications to business, science/technology, and other settings.</t>
  </si>
  <si>
    <t>Hebrew Language and Literature.</t>
  </si>
  <si>
    <t>A program that focuses on the Hebrew language. Includes instruction in philology; Biblical Hebrew (including Pre- and Post-Exilic scripts); Modern Hebrew; dialects; and applications to business, science/technology, and other settings.</t>
  </si>
  <si>
    <t>Ancient Near Eastern and Biblical Languages, Literatures, and Linguistics.</t>
  </si>
  <si>
    <t>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t>
  </si>
  <si>
    <t>Middle/Near Eastern and Semitic Languages, Literatures, and Linguistics, Other.</t>
  </si>
  <si>
    <t>Any instructional program in Middle/Near Eastern and Semitic languages, literatures, and linguistics not listed above.</t>
  </si>
  <si>
    <t>Classics and Classical Languages, Literatures, and Linguistics.</t>
  </si>
  <si>
    <t>Instructional content for this group of programs is defined in codes 16.1200 - 16.1299.</t>
  </si>
  <si>
    <t>Classics and Classical Languages, Literatures, and Linguistics, General.</t>
  </si>
  <si>
    <t>A general program that focuses on the literary culture of the ancient Graeco-Roman world and the Greek and Latin languages and literatures and their development prior to the fall of the Roman Empire.</t>
  </si>
  <si>
    <t>Ancient/Classical Greek Language and Literature.</t>
  </si>
  <si>
    <t>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t>
  </si>
  <si>
    <t>Latin Language and Literature.</t>
  </si>
  <si>
    <t>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t>
  </si>
  <si>
    <t>Classics and Classical Languages, Literatures, and Linguistics, Other.</t>
  </si>
  <si>
    <t>Any instructional program in classics and classical languages, literatures, and linguistics not listed above.</t>
  </si>
  <si>
    <t>Celtic Languages, Literatures, and Linguistics.</t>
  </si>
  <si>
    <t>Instructional content is defined in code 16.1301.</t>
  </si>
  <si>
    <t>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t>
  </si>
  <si>
    <t>Southeast Asian and Australasian/Pacific Languages, Literatures, and Linguistics.</t>
  </si>
  <si>
    <t>Instructional content for this group of programs is defined in codes 16.1400 - 16.1499.</t>
  </si>
  <si>
    <t>Southeast Asian Languages, Literatures, and Linguistics, General.</t>
  </si>
  <si>
    <t>A general program that focuses on one or more of the modern languages spoken in mainland Southeast Asia and the Indonesian and Philippines Archipelagoes, including, but not limited to, members of the Thai, Tibeto-Burman, and Malayo-Polynesian language families.</t>
  </si>
  <si>
    <t>Australian/Oceanic/Pacific Languages, Literatures, and Linguistics.</t>
  </si>
  <si>
    <t>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t>
  </si>
  <si>
    <t>Indonesian/Malay Languages and Literatures.</t>
  </si>
  <si>
    <t>A program that focuses on the Malay and Indonesian languages. Includes instruction in philology; dialects; and applications to business, science/technology, and other settings.</t>
  </si>
  <si>
    <t>Burmese Language and Literature.</t>
  </si>
  <si>
    <t>A program that focuses on the Burmese language.  Includes instruction in philology; literature; and applications to business, science/technology, and other settings.</t>
  </si>
  <si>
    <t>Filipino/Tagalog Language and Literature.</t>
  </si>
  <si>
    <t>A program that focuses on the modern Filipino/Tagalog language as used in the Philippines.  Includes instruction in philology; literature; and applications to business, science/technology, and other settings.</t>
  </si>
  <si>
    <t>Khmer/Cambodian Language and Literature.</t>
  </si>
  <si>
    <t>A program that focuses on the Khmer language as spoken in Cambodia. Includes instruction in philology; literature; and applications to business, science/technology, and other settings.</t>
  </si>
  <si>
    <t>Lao Language and Literature.</t>
  </si>
  <si>
    <t>A program that focuses on the Lao language. Includes instruction in philology; dialects; literature; and applications to business, science/technology, and other settings.</t>
  </si>
  <si>
    <t>Thai Language and Literature.</t>
  </si>
  <si>
    <t>A program that focuses on the Thai languages.  Includes instruction in philology; dialects; literature; and applications to business, science/technology, and other settings.</t>
  </si>
  <si>
    <t>Vietnamese Language and Literature.</t>
  </si>
  <si>
    <t>A program that focuses on the Vietnamese language. Includes instruction in philology; dialects; literature; and applications to business, science/technology, and other settings.</t>
  </si>
  <si>
    <t>Hawaiian Language and Literature.</t>
  </si>
  <si>
    <t>A program that focuses on the Hawaiian language and related dialects. Includes instruction in philology; dialects; and applications to business, science/technology, and other settings.</t>
  </si>
  <si>
    <t>Southeast Asian and Australasian/Pacific Languages, Literatures, and Linguistics, Other.</t>
  </si>
  <si>
    <t>Any instructional program in Southeast Asian and Australasian/Pacific languages, literatures, and linguistics not listed above.</t>
  </si>
  <si>
    <t>Turkic, Uralic-Altaic, Caucasian, and Central Asian Languages, Literatures, and Linguistics.</t>
  </si>
  <si>
    <t>Instructional content for this group of programs is defined in codes 16.1501 - 16.1599.</t>
  </si>
  <si>
    <t>Turkish Language and Literature.</t>
  </si>
  <si>
    <t>A program that focuses on the Turkish language in either or both of its pre-modern and modern variants. Includes instruction in philology; Ottoman Turkish; Modern Turkish; dialects; and applications to business, science/technology, and other settings.</t>
  </si>
  <si>
    <t>Uralic Languages, Literatures, and Linguistics.</t>
  </si>
  <si>
    <t>A program that focuses on Uralic languages, including, but not limited to, Finnish, Estonian, Karelian, and Sami. Includes instruction in philology; oral and written literatures; and applications to business, science/technology, and other settings.</t>
  </si>
  <si>
    <t>Hungarian/Magyar Language and Literature.</t>
  </si>
  <si>
    <t>A program that focuses on the Hungarian language. Includes instruction in philology; literature; and applications to business, science/technology, and other settings.</t>
  </si>
  <si>
    <t>Mongolian Language and Literature.</t>
  </si>
  <si>
    <t>A program that focuses on the Mongolian language. Includes instruction in philology; dialects; oral and written literature; and applications to business, science/technology, and other settings.</t>
  </si>
  <si>
    <t>Turkic, Uralic-Altaic, Caucasian, and Central Asian Languages, Literatures, and Linguistics, Other.</t>
  </si>
  <si>
    <t>Any instructional program in the Turkic, Uralic-Altaic, Caucasian, and Central Asian languages, literatures, and linguistics not listed above.</t>
  </si>
  <si>
    <t>American Sign Language.</t>
  </si>
  <si>
    <t>Instructional content for this group of programs is defined in codes 16.1601 - 16.1699.</t>
  </si>
  <si>
    <t>American Sign Language (ASL).</t>
  </si>
  <si>
    <t>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t>
  </si>
  <si>
    <t>05.0211 - Deaf Studies.</t>
  </si>
  <si>
    <t>Linguistics of ASL and Other Sign Languages.</t>
  </si>
  <si>
    <t>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t>
  </si>
  <si>
    <t>Sign Language Interpretation and Translation.</t>
  </si>
  <si>
    <t>A program that prepares individuals to function as simultaneous interpreters of American Sign Language</t>
  </si>
  <si>
    <t>American Sign Language, Other.</t>
  </si>
  <si>
    <t>Any instructional program that focuses on American Sign Language as a communication medium or language skill that is not listed above.</t>
  </si>
  <si>
    <t>Second Language Learning.</t>
  </si>
  <si>
    <t>Instructional content for this group of programs is defined in codes 16.1701 - 16.1799.</t>
  </si>
  <si>
    <t>English as a Second Language.</t>
  </si>
  <si>
    <t>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t>
  </si>
  <si>
    <t>32.0109 - Second Language Learning., 23.0101 - English Language and Literature, General.</t>
  </si>
  <si>
    <t>Armenian Languages, Literatures, and Linguistics.</t>
  </si>
  <si>
    <t>Instructional content is defined in code 16.1801.</t>
  </si>
  <si>
    <t>Armenian Language and Literature.</t>
  </si>
  <si>
    <t>A program that focuses on the historical and modern languages spoken by Armenians. Includes instruction in philology; linguistics; dialects and pidgins; literature; and applications to business, science/technology, and other settings.</t>
  </si>
  <si>
    <t>Foreign Languages, Literatures, and Linguistics, Other.</t>
  </si>
  <si>
    <t>Instructional content is defined in code 16.9999.</t>
  </si>
  <si>
    <t>Any instructional program in foreign languages, literatures, and linguistics not listed above.</t>
  </si>
  <si>
    <t>FAMILY AND CONSUMER SCIENCES/HUMAN SCIENCES.</t>
  </si>
  <si>
    <t>Instructional programs that focus on the human interface with the physical, social, emotional, and intellectual environments and the developmental stages and needs of individuals in the interrelated spheres of family, workplace, and community.</t>
  </si>
  <si>
    <t>Work and Family Studies.</t>
  </si>
  <si>
    <t>Moved from 19.00 to 19.10</t>
  </si>
  <si>
    <t>Moved from 19.0000 to 19.1001</t>
  </si>
  <si>
    <t>Family and Consumer Sciences/Human Sciences, General.</t>
  </si>
  <si>
    <t>Instructional content is defined in code 19.0101.</t>
  </si>
  <si>
    <t>A general program that focuses on family and consumer sciences, including how individuals develop and function in family, work, and community settings and how they relate to their physical, social, emotional, and intellectual environments.</t>
  </si>
  <si>
    <t>13.1308 - Family and Consumer Sciences/Home Economics Teacher Education.</t>
  </si>
  <si>
    <t>Family and Consumer Sciences/Human Sciences Business Services.</t>
  </si>
  <si>
    <t>Instructional content for this group of programs is defined in codes 19.0201 - 19.0299.</t>
  </si>
  <si>
    <t>Business Family and Consumer Sciences/Human Sciences.</t>
  </si>
  <si>
    <t>A program that focuses on the relationship between the economy and the consuming individual and family.  Includes instruction in consumption theory and practice, the production and distribution of retail goods and services, and the management of business enterprises.</t>
  </si>
  <si>
    <t>Family and Consumer Sciences/Human Sciences Communication.</t>
  </si>
  <si>
    <t>A program that focuses on communication of human sciences subject matter and related consumer information to a variety of audiences through print and non-print media.</t>
  </si>
  <si>
    <t>Consumer Merchandising/Retailing Management.</t>
  </si>
  <si>
    <t>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t>
  </si>
  <si>
    <t>Family and Consumer Sciences/Human Sciences Business Services, Other.</t>
  </si>
  <si>
    <t>Any instructional program in family and consumer sciences/human sciences business services not listed above.</t>
  </si>
  <si>
    <t>Family and Consumer Economics and Related Studies.</t>
  </si>
  <si>
    <t>Instructional content for this group of programs is defined in codes 19.0401 - 19.0499.</t>
  </si>
  <si>
    <t>Family Resource Management Studies, General.</t>
  </si>
  <si>
    <t>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t>
  </si>
  <si>
    <t>52.0804 - Financial Planning and Services.</t>
  </si>
  <si>
    <t>Consumer Economics.</t>
  </si>
  <si>
    <t>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t>
  </si>
  <si>
    <t>Consumer Services and Advocacy.</t>
  </si>
  <si>
    <t>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t>
  </si>
  <si>
    <t>Family and Consumer Economics and Related Services, Other.</t>
  </si>
  <si>
    <t>Any instructional program in family and consumer economics and related services not listed above.</t>
  </si>
  <si>
    <t>Foods, Nutrition, and Related Services.</t>
  </si>
  <si>
    <t>Instructional content for this group of programs is defined in codes 19.0501 - 19.0599.</t>
  </si>
  <si>
    <t>Foods, Nutrition, and Wellness Studies, General.</t>
  </si>
  <si>
    <t>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t>
  </si>
  <si>
    <t>Human Nutrition.</t>
  </si>
  <si>
    <t>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t>
  </si>
  <si>
    <t>51.3102 - Clinical Nutrition/Nutritionist., 30.1901 - Nutrition Sciences.</t>
  </si>
  <si>
    <t>Foodservice Systems Administration/Management.</t>
  </si>
  <si>
    <t>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t>
  </si>
  <si>
    <t>Foods, Nutrition, and Related Services, Other.</t>
  </si>
  <si>
    <t>Any instructional program in foods, nutrition, and related services not listed above.</t>
  </si>
  <si>
    <t>12.0509 - Culinary Science/Culinology.</t>
  </si>
  <si>
    <t>Housing and Human Environments.</t>
  </si>
  <si>
    <t>Instructional content for this group of programs is defined in codes 19.0601 - 19.0699.</t>
  </si>
  <si>
    <t>Housing and Human Environments, General.</t>
  </si>
  <si>
    <t>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t>
  </si>
  <si>
    <t>04.0401 - Environmental Design/Architecture., 50.0408 - Interior Design.</t>
  </si>
  <si>
    <t>Facilities Planning and Management.</t>
  </si>
  <si>
    <t>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t>
  </si>
  <si>
    <t>52.0907 - Meeting and Event Planning.</t>
  </si>
  <si>
    <t>Home Furnishings and Equipment Installers.</t>
  </si>
  <si>
    <t>A program that prepares individuals to assist in home furnishings and decorations. Includes instruction in selecting, purchasing, and designing home furnishings, decorations, and equipment; floral design; accessory construction; textiles; and upholstery.</t>
  </si>
  <si>
    <t>Housing and Human Environments, Other.</t>
  </si>
  <si>
    <t>Any instructional program in housing and human environments not listed above.</t>
  </si>
  <si>
    <t>Human Development, Family Studies, and Related Services.</t>
  </si>
  <si>
    <t>Instructional content for this group of programs is defined in codes 19.0701 - 19.0799.</t>
  </si>
  <si>
    <t>Human Development and Family Studies, General.</t>
  </si>
  <si>
    <t>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t>
  </si>
  <si>
    <t>Adult Development and Aging.</t>
  </si>
  <si>
    <t>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t>
  </si>
  <si>
    <t>42.2809 - Geropsychology., 30.1101 - Gerontology.</t>
  </si>
  <si>
    <t>Family Systems.</t>
  </si>
  <si>
    <t>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t>
  </si>
  <si>
    <t>42.2811 - Family Psychology., 51.1505 - Marriage and Family Therapy/Counseling.</t>
  </si>
  <si>
    <t>Child Development.</t>
  </si>
  <si>
    <t>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t>
  </si>
  <si>
    <t>42.2703 - Developmental and Child Psychology., 42.2710 - Developmental and Adolescent Psychology.</t>
  </si>
  <si>
    <t>Family and Community Services.</t>
  </si>
  <si>
    <t>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t>
  </si>
  <si>
    <t>Child Care and Support Services Management.</t>
  </si>
  <si>
    <t>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t>
  </si>
  <si>
    <t>Child Care Provider/Assistant.</t>
  </si>
  <si>
    <t>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t>
  </si>
  <si>
    <t>Developmental Services Worker.</t>
  </si>
  <si>
    <t>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t>
  </si>
  <si>
    <t>Early Childhood and Family Studies.</t>
  </si>
  <si>
    <t>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t>
  </si>
  <si>
    <t>13.1210 - Early Childhood Education and Teaching., 42.2811 - Family Psychology.</t>
  </si>
  <si>
    <t>Parent Education Services.</t>
  </si>
  <si>
    <t>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t>
  </si>
  <si>
    <t>Examples: - Parent Education</t>
  </si>
  <si>
    <t>Human Development, Family Studies, and Related Services, Other.</t>
  </si>
  <si>
    <t>Any instructional program in human development, family studies, and related services not listed above.</t>
  </si>
  <si>
    <t>Apparel and Textiles.</t>
  </si>
  <si>
    <t>Instructional content for this group of programs is defined in codes 19.0901 - 19.0999.</t>
  </si>
  <si>
    <t>Apparel and Textiles, General.</t>
  </si>
  <si>
    <t>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t>
  </si>
  <si>
    <t>Apparel and Textile Manufacture.</t>
  </si>
  <si>
    <t>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t>
  </si>
  <si>
    <t>50.0407 - Fashion/Apparel Design., 50.0712 - Fiber, Textile and Weaving Arts.</t>
  </si>
  <si>
    <t>Textile Science.</t>
  </si>
  <si>
    <t>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t>
  </si>
  <si>
    <t>14.2801 - Textile Sciences and Engineering.</t>
  </si>
  <si>
    <t>Apparel and Textile Marketing Management.</t>
  </si>
  <si>
    <t>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t>
  </si>
  <si>
    <t>52.1902 - Fashion Merchandising.</t>
  </si>
  <si>
    <t>Fashion and Fabric Consultant.</t>
  </si>
  <si>
    <t>A program that prepares individuals to assist in apparel and fashion selection, style coordination, customer sales and consulting, fabric selection, clothing specifications, and contract buying activities. Includes instruction in supplying regular clothing needs or acting as a consultant for special events such as weddings.</t>
  </si>
  <si>
    <t>Apparel and Textiles, Other.</t>
  </si>
  <si>
    <t>Any instructional program in apparel and textiles not listed above.</t>
  </si>
  <si>
    <t>Instructional content is defined in code 19.1001.</t>
  </si>
  <si>
    <t>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t>
  </si>
  <si>
    <t>Family and Consumer Sciences/Human Sciences, Other.</t>
  </si>
  <si>
    <t>Instructional content is defined in code 19.9999.</t>
  </si>
  <si>
    <t>Any instructional program in family and consumer sciences/human sciences not listed above.</t>
  </si>
  <si>
    <t>RESERVED.</t>
  </si>
  <si>
    <t>Reserved for use by Statistics Canada. These CIP codes are not valid for IPEDS reporting.</t>
  </si>
  <si>
    <t>Instructional content is defined in code 21.0101.</t>
  </si>
  <si>
    <t>LEGAL PROFESSIONS AND STUDIES.</t>
  </si>
  <si>
    <t>Instructional programs that prepare individuals for the legal profession, for related support professions and professional legal research, and focus on the study of legal issues in non-professional programs.</t>
  </si>
  <si>
    <t>Non-Professional Legal Studies.</t>
  </si>
  <si>
    <t>Instructional content for this group of programs is defined in codes 22.0000 - 22.0099.</t>
  </si>
  <si>
    <t>Legal Studies.</t>
  </si>
  <si>
    <t>A program of study that focuses on law and legal issues from the perspective of the social sciences and humanities.</t>
  </si>
  <si>
    <t>Examples: - Juris Master (J.M.) Degree, - Master of Legal Studies</t>
  </si>
  <si>
    <t>Pre-Law Studies.</t>
  </si>
  <si>
    <t>A program that prepares individuals for the professional study of law at the post-baccalaureate level.</t>
  </si>
  <si>
    <t>Non-Professional Legal Studies, Other.</t>
  </si>
  <si>
    <t>Any program in non-professional legal studies not listed above.</t>
  </si>
  <si>
    <t>Law.</t>
  </si>
  <si>
    <t>Instructional content is defined in code 22.0101.</t>
  </si>
  <si>
    <t>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t>
  </si>
  <si>
    <t>Examples: - Law (LL.B.), - Law (J.D.)</t>
  </si>
  <si>
    <t>Legal Research and Advanced Professional Studies.</t>
  </si>
  <si>
    <t>Instructional content for this group of programs is defined in codes 22.0201 - 22.0299.</t>
  </si>
  <si>
    <t>Advanced Legal Research/Studies, General.</t>
  </si>
  <si>
    <t>An integrated or undifferentiated program in one or more of  the legal research or advanced practice fields.</t>
  </si>
  <si>
    <t>Examples: - Advanced Legal Research/Studies, General (LL.M., M.C.L., M.L.I., M.S.L.), - Advanced Legal Research/Studies, General (J.S.D./S.J.D.)</t>
  </si>
  <si>
    <t>Programs for Foreign Lawyers.</t>
  </si>
  <si>
    <t>A program that prepares lawyers educated outside the United States to understand U. S. or Canadian law and jurisprudence.</t>
  </si>
  <si>
    <t>Examples: - Programs for Foreign Lawyers (LL.M., M.C.L.)</t>
  </si>
  <si>
    <t>American/U.S. Law/Legal Studies/Jurisprudence.</t>
  </si>
  <si>
    <t>An advanced, professional program of the U.S. legal system, Constitution law, and jurisprudence.  Includes instruction in legal history, legal sociology, philosophy of law, Constitutional law, legal procedure, and related topics.</t>
  </si>
  <si>
    <t>Examples: - American/U.S. Law/Legal Studies/Jurisprudence (LL.M., M.C.J.), - American/U.S. Law/Legal Studies/Jurisprudence (J.S.D./S.J.D.)</t>
  </si>
  <si>
    <t>Canadian Law/Legal Studies/Jurisprudence.</t>
  </si>
  <si>
    <t>An advanced, professional study of the Canadian legal system, Constitution law, and jurisprudence.  Includes instruction in legal history, legal sociology, philosophy of law, Constitutional law, Commonwealth law, legal procedure, and related topics.</t>
  </si>
  <si>
    <t>Examples: - Canadian Law/Legal Studies/Jurisprudence (LL.M., M.C.J.), - Canadian Law/Legal Studies/Jurisprudence (J.S.D./S.J.D.)</t>
  </si>
  <si>
    <t>Banking, Corporate, Finance, and Securities Law.</t>
  </si>
  <si>
    <t>An advanced, professional study of the law and process related to the regulation of businesses and the financial services industry.  Includes instruction in corporate law, antitrust law,  securities law and regulation, negotiation, incorporation, partnerships, trusts, and related topics</t>
  </si>
  <si>
    <t>Examples: - Banking, Corporate, Finance, and Securities Law (LL.M.), - Banking, Corporate, Finance, and Securities Law (J.S.D./S.J.D.), - Estate Planning Law</t>
  </si>
  <si>
    <t>Comparative Law.</t>
  </si>
  <si>
    <t>An advanced, professional study of legal systems and philosophies in comparative perspective.</t>
  </si>
  <si>
    <t>Examples: - Comparative Law (LL.M., M.C.L.), - Comparative Law (J.S.D./S.J.D.)</t>
  </si>
  <si>
    <t>Energy, Environment, and Natural Resources Law.</t>
  </si>
  <si>
    <t>An advanced, professional study of  the law, policies, and regulations governing the energy industry, environmental protection, natural resources and land use, and related topics.</t>
  </si>
  <si>
    <t>Examples: - Energy, Environment, and Natural Resources Law (LL.M., M.S.), - Energy, Environment, and Natural Resources Law (J.S.D./S.J.D.)</t>
  </si>
  <si>
    <t>Health Law.</t>
  </si>
  <si>
    <t>An advanced, professional study of the law, policies and regulations affecting the health care industry, health professions, health services and insurance industries, and patients.</t>
  </si>
  <si>
    <t>Examples: - Health Law (LL.M., M.J.), - Health Law (J.S.D./S.J.D.), - Healthcare Compliance Law, - Mental Disability Law</t>
  </si>
  <si>
    <t>International Law and Legal Studies.</t>
  </si>
  <si>
    <t>An advanced, professional study of the law affecting relations between nations, the behavior of international organizations, and the international activities of private citizens and organizations.</t>
  </si>
  <si>
    <t>Examples: - International Law and Legal Studies (LL.M.), - International Law and Legal Studies (J.S.D./S.J.D.)</t>
  </si>
  <si>
    <t>International Business, Trade, and Tax Law.</t>
  </si>
  <si>
    <t>An advanced, professional study of the law, policies, and regulations governing transnational business and commercial practices, including the specialized tax law related to international financial transactions.</t>
  </si>
  <si>
    <t>Examples: - International Business, Trade, and Tax Law (LL.M.), - International Business, Trade, and Tax Law (J.S.D./S.J.D.)</t>
  </si>
  <si>
    <t>Tax Law/Taxation.</t>
  </si>
  <si>
    <t>An advanced, professional study of tax law and taxation procedures in U.S. or Canadian jurisdictions affecting individuals and corporations.</t>
  </si>
  <si>
    <t>Examples: - Tax Law/Taxation (LL.M.), - Tax Law/Taxation (J.S.D./S.J.D.)</t>
  </si>
  <si>
    <t>Intellectual Property Law.</t>
  </si>
  <si>
    <t>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t>
  </si>
  <si>
    <t>Examples: - Intellectual Property Law ( LL.M.), - Intellectual Property Law (J.S.D./S.J.D.)</t>
  </si>
  <si>
    <t>Patent Law.</t>
  </si>
  <si>
    <t>An advanced, professional study of the law, policies, and regulations affecting patents.</t>
  </si>
  <si>
    <t>Examples: - Patent Law, - Patent Prosecution</t>
  </si>
  <si>
    <t>Agriculture Law.</t>
  </si>
  <si>
    <t>An advanced, professional study of the law, policies, and regulations for lawyers and non-legal professionals in food and agriculture.</t>
  </si>
  <si>
    <t>Examples: - Agriculture and Food Law, - Global Food Law</t>
  </si>
  <si>
    <t>Arts and Entertainment Law.</t>
  </si>
  <si>
    <t>An advanced, professional study of the law, policies, and regulations affecting the sports, fashion, entertainment, arts, and media industries.</t>
  </si>
  <si>
    <t>Examples: - Entertainment, Arts, and Sports Law, - Fashion Law, - Gaming Law and Regulation, - Sports Law, - Title IX Compliance</t>
  </si>
  <si>
    <t>Compliance Law.</t>
  </si>
  <si>
    <t>An advanced, professional study of the law, policies, and regulations for lawyers and non-legal professionals in compliance, ethics, internal monitoring, regulatory affairs, and related areas.</t>
  </si>
  <si>
    <t>Examples: - Corporate Compliance, - Enterprise Risk Management and Compliance Law</t>
  </si>
  <si>
    <t>Criminal Law and Procedure.</t>
  </si>
  <si>
    <t>An advanced, professional study of the law, policies, and regulations affecting criminal law and trial procedures.</t>
  </si>
  <si>
    <t>Examples: - Federal Criminal Practice and Procedure</t>
  </si>
  <si>
    <t>Entrepreneurship Law.</t>
  </si>
  <si>
    <t>An advanced, professional study of the law, policies, and regulations affecting entrepreneurship and innovation.</t>
  </si>
  <si>
    <t>Family/Child/Elder Law.</t>
  </si>
  <si>
    <t>An advanced, professional study of the law, policies, and regulations affecting domestic relations across the lifespan.</t>
  </si>
  <si>
    <t>Human Resources Law.</t>
  </si>
  <si>
    <t>An advanced, professional study of the law, policies, and regulations affecting human resources.</t>
  </si>
  <si>
    <t>Examples: - Employee Benefits Law, - Labor and Employment Law</t>
  </si>
  <si>
    <t>Insurance Law.</t>
  </si>
  <si>
    <t>An advanced, professional study of the law, policies, and regulations affecting insurance.</t>
  </si>
  <si>
    <t>Real Estate and Land Development Law.</t>
  </si>
  <si>
    <t>An advanced, professional study of the law, policies, and regulations affecting real estate and land development.</t>
  </si>
  <si>
    <t>Transportation Law.</t>
  </si>
  <si>
    <t>An advanced, professional study of the law, policies, and regulations affecting land, sea, air, and space transportation.</t>
  </si>
  <si>
    <t>Examples: - Admiralty Law, - Marine Affairs Law, - Aviation Law, - Ocean and Coastal Law, - Air and Space Law, - Logistics and Transportation Law, - Space and Telecommunications Law</t>
  </si>
  <si>
    <t>Tribal/Indigenous Law.</t>
  </si>
  <si>
    <t>An advanced, professional study of the law, policies, and regulations affecting federal Indian law, tribal law and policy, and Indigenous peoples' human rights.</t>
  </si>
  <si>
    <t>Examples: - Tribal Policy, Law, and Government, - Indigenous Law, - Indigenous and Federal Aboriginal Law</t>
  </si>
  <si>
    <t>Legal Research and Advanced Professional Studies, Other.</t>
  </si>
  <si>
    <t>Any program in legal research and advanced professional studies not listed above.</t>
  </si>
  <si>
    <t>Examples: - Animal Law, - Biotechnology and Genomics Law, - Cannabis Law, - Communications Law, - Cybersecurity and Information Privacy Law, - Economic Law, - Education Law</t>
  </si>
  <si>
    <t>Legal Support Services.</t>
  </si>
  <si>
    <t>Instructional content for this group of programs is defined in codes 22.0301 - 22.0399.</t>
  </si>
  <si>
    <t>Legal Administrative Assistant/Secretary.</t>
  </si>
  <si>
    <t>A program that prepares individuals to serve as legal office managers, special assistants, and legal secretaries.  Includes instruction in office management, secretarial science, principles of U.S. or Canadian law, legal terminology and documentation, legal research, legal software applications, law office procedures, record-keeping, billing, applicable policies and regulations, and professional standards and ethics.</t>
  </si>
  <si>
    <t>Legal Assistant/Paralegal.</t>
  </si>
  <si>
    <t>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t>
  </si>
  <si>
    <t>Court Reporting and Captioning/Court Reporter.</t>
  </si>
  <si>
    <t>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t>
  </si>
  <si>
    <t>51.0708 - Medical Transcription/Transcriptionist., 10.0204 - Voice Writing Technology/Technician.</t>
  </si>
  <si>
    <t>Court Interpreter.</t>
  </si>
  <si>
    <t>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t>
  </si>
  <si>
    <t>Scopist.</t>
  </si>
  <si>
    <t>An instructional program that prepares individuals to perform editing and word processing on a court reporter transcript to ensure the accuracy of the transcripts. Includes instruction in legal terminology, legal transcriptioning, machine shorthand, and computer-aided transcription software.</t>
  </si>
  <si>
    <t>Examples: - Court Reporter Transcript Editor</t>
  </si>
  <si>
    <t>Legal Support Services, Other.</t>
  </si>
  <si>
    <t>Any program in legal support services not listed above.</t>
  </si>
  <si>
    <t>Legal Professions and Studies, Other.</t>
  </si>
  <si>
    <t>Instructional content is defined in code 22.9999.</t>
  </si>
  <si>
    <t>Any program in law, legal services, and legal studies not listed above.</t>
  </si>
  <si>
    <t>ENGLISH LANGUAGE AND LITERATURE/LETTERS.</t>
  </si>
  <si>
    <t>Instructional programs that focus on the structure and use of the English language and dialects, speech, writing, and various aspects of the literatures and cultures of the English-speaking peoples.</t>
  </si>
  <si>
    <t>English Language and Literature, General.</t>
  </si>
  <si>
    <t>Instructional content is defined in code 23.0101.</t>
  </si>
  <si>
    <t>A general program that focuses on the English language, including its history, structure and related communications skills; and the literature and culture of English-speaking peoples.</t>
  </si>
  <si>
    <t>16.1701 - English as a Second Language.</t>
  </si>
  <si>
    <t>Rhetoric and Composition/Writing Studies.</t>
  </si>
  <si>
    <t>Instructional content for this group of programs is defined in codes 23.1301 - 23.1399.</t>
  </si>
  <si>
    <t>Writing, General.</t>
  </si>
  <si>
    <t>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t>
  </si>
  <si>
    <t>Examples: - English Composition, - Writing</t>
  </si>
  <si>
    <t>Creative Writing.</t>
  </si>
  <si>
    <t>A program that focuses on the process and techniques of original composition in various literary forms such as the short story, poetry, the novel, and others.  Includes instruction in technical and editorial skills, criticism, and the marketing of finished manuscripts.</t>
  </si>
  <si>
    <t>50.0504 - Playwriting and Screenwriting.</t>
  </si>
  <si>
    <t>Professional, Technical, Business, and Scientific Writing.</t>
  </si>
  <si>
    <t>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t>
  </si>
  <si>
    <t>09.0908 - Technical and Scientific Communication.</t>
  </si>
  <si>
    <t>Examples: - Biomedical Writing, - Medical Writing, - Professional, Technical, and Scientific Writing/Communication</t>
  </si>
  <si>
    <t>Rhetoric and Composition.</t>
  </si>
  <si>
    <t>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t>
  </si>
  <si>
    <t>09.0101 - Speech Communication and Rhetoric.</t>
  </si>
  <si>
    <t>Examples: - Rhetoric and Writing, - Rhetoric and Writing Studies, - Rhetoric and Composition</t>
  </si>
  <si>
    <t>Rhetoric and Composition/Writing Studies, Other.</t>
  </si>
  <si>
    <t>Any instructional program in rhetoric and composition/writing studies not listed above.</t>
  </si>
  <si>
    <t>Literature.</t>
  </si>
  <si>
    <t>Instructional content for this group of programs is defined in codes 23.1401 - 23.1499.</t>
  </si>
  <si>
    <t>General Literature.</t>
  </si>
  <si>
    <t>A program that focuses on literature from one or more genres, cultures or traditions. Includes instruction in period and genre studies, author studies, literary criticism, and studies of various types of literary text.</t>
  </si>
  <si>
    <t>16.0104 - Comparative Literature.</t>
  </si>
  <si>
    <t>Examples: - Literary Studies</t>
  </si>
  <si>
    <t>American Literature (United States).</t>
  </si>
  <si>
    <t>A program that focuses on the literature and literary development, both formal and folkloric, of the United States from the Colonial Era to the present.  Includes instruction in period and genre studies, author studies, literary criticism, and regional and oral traditions.</t>
  </si>
  <si>
    <t>American Literature (Canadian).</t>
  </si>
  <si>
    <t>A program that focuses on the literature and literary development, both formal and folkloric, of Canada from its origins to the present.  Includes instruction in period and genre studies, author studies, literary criticism, and regional and oral traditions.</t>
  </si>
  <si>
    <t>English Literature (British and Commonwealth).</t>
  </si>
  <si>
    <t>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t>
  </si>
  <si>
    <t>Children's and Adolescent Literature.</t>
  </si>
  <si>
    <t>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t>
  </si>
  <si>
    <t>25.0102 - Children and Youth Library Services.</t>
  </si>
  <si>
    <t>Examples: - Literature for Children and Young Adults</t>
  </si>
  <si>
    <t>Literature, Other.</t>
  </si>
  <si>
    <t>Any instructional program in English language literature not listed above.</t>
  </si>
  <si>
    <t>English Language and Literature/Letters, Other.</t>
  </si>
  <si>
    <t>Instructional content is defined in code 23.9999.</t>
  </si>
  <si>
    <t>Any instructional program in English language and literature not listed above.</t>
  </si>
  <si>
    <t>Examples: - Writing and Literature</t>
  </si>
  <si>
    <t>LIBERAL ARTS AND SCIENCES, GENERAL STUDIES AND HUMANITIES.</t>
  </si>
  <si>
    <t>General instructional programs and independent or individualized studies in the liberal arts subjects, the humanities disciplines and the general curriculum.</t>
  </si>
  <si>
    <t>Liberal Arts and Sciences, General Studies and Humanities.</t>
  </si>
  <si>
    <t>Instructional content for this group of programs is defined in codes 24.0101 - 24.0199.</t>
  </si>
  <si>
    <t>Liberal Arts and Sciences/Liberal Studies.</t>
  </si>
  <si>
    <t>A program that is a structured combination of the arts, biological and physical sciences, social sciences, and humanities, emphasizing breadth of study.  Includes instruction in independently designed, individualized, or regular programs.</t>
  </si>
  <si>
    <t>General Studies.</t>
  </si>
  <si>
    <t>An undifferentiated program that includes instruction in the general arts, general science, or unstructured studies.</t>
  </si>
  <si>
    <t>Examples: - Undeclared Major, - Undecided</t>
  </si>
  <si>
    <t>Humanities/Humanistic Studies.</t>
  </si>
  <si>
    <t>A program that focuses on combined studies and research in the humanities subjects as distinguished from the social and physical sciences, emphasizing languages, literatures, art, music, philosophy and religion.</t>
  </si>
  <si>
    <t>Liberal Arts and Sciences, General Studies and Humanities, Other.</t>
  </si>
  <si>
    <t>Any single instructional program in liberal arts and sciences, general studies and humanities not listed above.</t>
  </si>
  <si>
    <t>LIBRARY SCIENCE.</t>
  </si>
  <si>
    <t>Instructional programs that focus on the knowledge and skills required for managing and/or maintaining libraries and related information and record systems,  collections and facilities for research and general use.</t>
  </si>
  <si>
    <t>Library Science and Administration.</t>
  </si>
  <si>
    <t>Instructional content for this group of programs is defined in codes 25.0101 - 25.0199.</t>
  </si>
  <si>
    <t>Library and Information Science.</t>
  </si>
  <si>
    <t>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t>
  </si>
  <si>
    <t>13.1334 - School Librarian/School Library Media Specialist., 11.0401 - Information Science/Studies.</t>
  </si>
  <si>
    <t>Examples: - Library Management</t>
  </si>
  <si>
    <t>Children and Youth Library Services.</t>
  </si>
  <si>
    <t>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t>
  </si>
  <si>
    <t>23.1405 - Children's and Adolescent Literature.</t>
  </si>
  <si>
    <t>Examples: - Children's Library Services, - Youth Library Services, - Young Adult Library Services</t>
  </si>
  <si>
    <t>Archives/Archival Administration.</t>
  </si>
  <si>
    <t>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t>
  </si>
  <si>
    <t>54.0105 - Public/Applied History.</t>
  </si>
  <si>
    <t>Examples: - Archival Administration and Records Management, - Archival Studies, - Records Management</t>
  </si>
  <si>
    <t>Library Science and Administration, Other.</t>
  </si>
  <si>
    <t>Any instructional program in library science and administration not listed above.</t>
  </si>
  <si>
    <t>Library and Archives Assisting.</t>
  </si>
  <si>
    <t>Instructional content is defined in code 25.0301.</t>
  </si>
  <si>
    <t>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t>
  </si>
  <si>
    <t>Examples: - Library Assistant, - Library Technician, - Archives Assistant, - Archives Technician</t>
  </si>
  <si>
    <t>Library Science, Other.</t>
  </si>
  <si>
    <t>Instructional content is defined in code 25.9999.</t>
  </si>
  <si>
    <t>Any instructional program in library science not listed above.</t>
  </si>
  <si>
    <t>BIOLOGICAL AND BIOMEDICAL SCIENCES.</t>
  </si>
  <si>
    <t>Instructional programs that focus on the biological sciences and the non-clinical biomedical sciences, and that prepare individuals for research and professional careers as biologists and biomedical scientists.</t>
  </si>
  <si>
    <t>Biology, General.</t>
  </si>
  <si>
    <t>Instructional content for this group of programs is defined in codes 26.0101 - 26.0102.</t>
  </si>
  <si>
    <t>Biology/Biological Sciences, General.</t>
  </si>
  <si>
    <t>A general program of biology at the introductory, basic level or a program in biology or the biological sciences that is undifferentiated as to title or content.  Includes instruction in general biology and programs covering a variety of biological specializations.</t>
  </si>
  <si>
    <t>Biomedical Sciences, General.</t>
  </si>
  <si>
    <t>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t>
  </si>
  <si>
    <t>Biochemistry, Biophysics and Molecular Biology.</t>
  </si>
  <si>
    <t>Instructional content for this group of programs is defined in codes 26.0202 - 26.0299.</t>
  </si>
  <si>
    <t>Biochemistry.</t>
  </si>
  <si>
    <t>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t>
  </si>
  <si>
    <t>Biophysics.</t>
  </si>
  <si>
    <t>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t>
  </si>
  <si>
    <t>51.2205 - Health/Medical  Physics.</t>
  </si>
  <si>
    <t>Molecular Biology.</t>
  </si>
  <si>
    <t>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t>
  </si>
  <si>
    <t>Molecular Biochemistry.</t>
  </si>
  <si>
    <t>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t>
  </si>
  <si>
    <t>Molecular Biophysics.</t>
  </si>
  <si>
    <t>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t>
  </si>
  <si>
    <t>Structural Biology.</t>
  </si>
  <si>
    <t>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t>
  </si>
  <si>
    <t>Photobiology.</t>
  </si>
  <si>
    <t>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t>
  </si>
  <si>
    <t>Radiation Biology/Radiobiology.</t>
  </si>
  <si>
    <t>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t>
  </si>
  <si>
    <t>Biochemistry and Molecular Biology.</t>
  </si>
  <si>
    <t>A program of study that combines the biological sub-disciplines of biochemistry and molecular biology. Includes instruction in general biology, general and organic chemistry, physics, biochemistry, molecular biology, immunology, microbiology, genetics, and cellular biology.</t>
  </si>
  <si>
    <t>26.0204 - Molecular Biology., 26.0202 - Biochemistry.</t>
  </si>
  <si>
    <t>Biochemistry, Biophysics and Molecular Biology, Other.</t>
  </si>
  <si>
    <t>Any instructional program in biochemistry, biophysics and molecular biology not listed above.</t>
  </si>
  <si>
    <t>Examples: - Comparative Biochemistry</t>
  </si>
  <si>
    <t>Botany/Plant Biology.</t>
  </si>
  <si>
    <t>Instructional content for this group of programs is defined in codes 26.0301 - 26.0399.</t>
  </si>
  <si>
    <t>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t>
  </si>
  <si>
    <t>01.1101 - Plant Sciences, General.</t>
  </si>
  <si>
    <t>Plant Pathology/Phytopathology.</t>
  </si>
  <si>
    <t>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t>
  </si>
  <si>
    <t>Plant Physiology.</t>
  </si>
  <si>
    <t>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t>
  </si>
  <si>
    <t>Plant Molecular Biology.</t>
  </si>
  <si>
    <t>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t>
  </si>
  <si>
    <t>Botany/Plant Biology, Other.</t>
  </si>
  <si>
    <t>Any instructional program in botany/plant biology not listed above.</t>
  </si>
  <si>
    <t>Examples: - Phycology</t>
  </si>
  <si>
    <t>Cell/Cellular Biology and Anatomical Sciences.</t>
  </si>
  <si>
    <t>Instructional content for this group of programs is defined in codes 26.0401 - 26.0499.</t>
  </si>
  <si>
    <t>Cell/Cellular Biology and Histology.</t>
  </si>
  <si>
    <t>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t>
  </si>
  <si>
    <t>Anatomy.</t>
  </si>
  <si>
    <t>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t>
  </si>
  <si>
    <t>Developmental Biology and Embryology.</t>
  </si>
  <si>
    <t>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t>
  </si>
  <si>
    <t>Cell/Cellular and Molecular Biology.</t>
  </si>
  <si>
    <t>An integrated, combined program that focuses on the scientific study of cells, cellular systems, and the molecular basis of cell structure and function.  Includes instruction in cell biology, cell chemistry, molecular biology, biophysics, and structural biology.</t>
  </si>
  <si>
    <t>Cell Biology and Anatomy.</t>
  </si>
  <si>
    <t>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t>
  </si>
  <si>
    <t>Cell/Cellular Biology and Anatomical Sciences, Other.</t>
  </si>
  <si>
    <t>Any instructional program in cell/cellular biology and anatomical sciences not listed above.</t>
  </si>
  <si>
    <t>Examples: - Cell and Developmental Biology</t>
  </si>
  <si>
    <t>Microbiological Sciences and Immunology.</t>
  </si>
  <si>
    <t>Instructional content for this group of programs is defined in codes 26.0502 - 26.0599.</t>
  </si>
  <si>
    <t>Microbiology, General.</t>
  </si>
  <si>
    <t>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t>
  </si>
  <si>
    <t>Medical Microbiology and Bacteriology.</t>
  </si>
  <si>
    <t>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t>
  </si>
  <si>
    <t>Virology.</t>
  </si>
  <si>
    <t>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t>
  </si>
  <si>
    <t>Parasitology.</t>
  </si>
  <si>
    <t>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t>
  </si>
  <si>
    <t>Mycology.</t>
  </si>
  <si>
    <t>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t>
  </si>
  <si>
    <t>Immunology.</t>
  </si>
  <si>
    <t>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t>
  </si>
  <si>
    <t>Microbiology and Immunology.</t>
  </si>
  <si>
    <t>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t>
  </si>
  <si>
    <t>26.0502 - Microbiology, General., 26.0507 - Immunology.</t>
  </si>
  <si>
    <t>Examples: - Medical Microbiology and Immunology</t>
  </si>
  <si>
    <t>Infectious Disease and Global Health.</t>
  </si>
  <si>
    <t>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t>
  </si>
  <si>
    <t>51.2210 - International Public Health/International Health.</t>
  </si>
  <si>
    <t>Microbiological Sciences and Immunology, Other.</t>
  </si>
  <si>
    <t>Any instructional program in the microbiological sciences and immunology not listed above.</t>
  </si>
  <si>
    <t>Zoology/Animal Biology.</t>
  </si>
  <si>
    <t>Instructional content for this group of programs is defined in codes 26.0701 - 26.0799.</t>
  </si>
  <si>
    <t>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t>
  </si>
  <si>
    <t>01.0901 - Animal Sciences, General.</t>
  </si>
  <si>
    <t>Entomology.</t>
  </si>
  <si>
    <t>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</si>
  <si>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01.1105 - Plant Protection and Integrated Pest Management.</t>
  </si>
  <si>
    <t>Animal Physiology.</t>
  </si>
  <si>
    <t>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t>
  </si>
  <si>
    <t>Animal Behavior and Ethology.</t>
  </si>
  <si>
    <t>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t>
  </si>
  <si>
    <t>Wildlife Biology.</t>
  </si>
  <si>
    <t>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t>
  </si>
  <si>
    <t>03.0601 - Wildlife, Fish and Wildlands Science and Management.</t>
  </si>
  <si>
    <t>Examples: - Wildlife and Conservation Biology</t>
  </si>
  <si>
    <t>Zoology/Animal Biology, Other.</t>
  </si>
  <si>
    <t>Any instructional program in zoology/animal biology not listed above.</t>
  </si>
  <si>
    <t>Genetics.</t>
  </si>
  <si>
    <t>Instructional content for this group of programs is defined in codes 26.0801 - 26.0899.</t>
  </si>
  <si>
    <t>Genetics, General.</t>
  </si>
  <si>
    <t>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t>
  </si>
  <si>
    <t>Molecular Genetics.</t>
  </si>
  <si>
    <t>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t>
  </si>
  <si>
    <t>Examples: - Neurogenetics, - Proteomics, - Protein Expression</t>
  </si>
  <si>
    <t>Microbial and Eukaryotic Genetics.</t>
  </si>
  <si>
    <t>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t>
  </si>
  <si>
    <t>Animal Genetics.</t>
  </si>
  <si>
    <t>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t>
  </si>
  <si>
    <t>01.0902 - Agricultural Animal Breeding.</t>
  </si>
  <si>
    <t>Plant Genetics.</t>
  </si>
  <si>
    <t>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t>
  </si>
  <si>
    <t>01.1104 - Agricultural and Horticultural Plant Breeding.</t>
  </si>
  <si>
    <t>Human/Medical Genetics.</t>
  </si>
  <si>
    <t>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t>
  </si>
  <si>
    <t>51.0914 - Gene/Genetic Therapy., 51.1010 - Cytogenetics/Genetics/Clinical Genetics Technology/Technologist., 51.1509 - Genetic Counseling/Counselor.</t>
  </si>
  <si>
    <t>Genome Sciences/Genomics.</t>
  </si>
  <si>
    <t>A program that focuses on the scientific study of whole genome sequences and patterns of gene expression. Includes instruction in molecular and cellular biology, genetics, protein technologies, genomic sciences and techniques, bioinformatics, and scientific and research ethics.</t>
  </si>
  <si>
    <t>Genetics, Other.</t>
  </si>
  <si>
    <t>Any instructional program in genetics not listed above.</t>
  </si>
  <si>
    <t>Physiology, Pathology and Related Sciences.</t>
  </si>
  <si>
    <t>Instructional content for this group of programs is defined in codes 26.0901 - 26.0999.</t>
  </si>
  <si>
    <t>Physiology, General.</t>
  </si>
  <si>
    <t>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t>
  </si>
  <si>
    <t>Molecular Physiology.</t>
  </si>
  <si>
    <t>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t>
  </si>
  <si>
    <t>Cell Physiology.</t>
  </si>
  <si>
    <t>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t>
  </si>
  <si>
    <t>Endocrinology.</t>
  </si>
  <si>
    <t>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t>
  </si>
  <si>
    <t>Reproductive Biology.</t>
  </si>
  <si>
    <t>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t>
  </si>
  <si>
    <t>Cardiovascular Science.</t>
  </si>
  <si>
    <t>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t>
  </si>
  <si>
    <t>Exercise Physiology and Kinesiology.</t>
  </si>
  <si>
    <t>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t>
  </si>
  <si>
    <t>51.0913 - Athletic Training/Trainer., 31.0505 - Exercise Science and Kinesiology.</t>
  </si>
  <si>
    <t>Vision Science/Physiological Optics.</t>
  </si>
  <si>
    <t>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t>
  </si>
  <si>
    <t>Pathology/Experimental Pathology.</t>
  </si>
  <si>
    <t>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t>
  </si>
  <si>
    <t>Oncology and Cancer Biology.</t>
  </si>
  <si>
    <t>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t>
  </si>
  <si>
    <t>Aerospace Physiology and Medicine.</t>
  </si>
  <si>
    <t>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t>
  </si>
  <si>
    <t>Biomechanics.</t>
  </si>
  <si>
    <t>A program of study that focuses on the biological, anatomical, and mechanical structure and function of the mechanical aspects of biological systems. Includes courses in anatomy, physiology, kinesiology, mechanics, measurement and instrumentation, and research methods.</t>
  </si>
  <si>
    <t>14.0501 - Bioengineering and Biomedical Engineering., 31.0505 - Exercise Science and Kinesiology.</t>
  </si>
  <si>
    <t>Physiology, Pathology, and Related Sciences, Other.</t>
  </si>
  <si>
    <t>Any instructional program in physiology, pathology, and related sciences not listed above.</t>
  </si>
  <si>
    <t>Pharmacology and Toxicology.</t>
  </si>
  <si>
    <t>Instructional content for this group of programs is defined in codes 26.1001 - 26.1099.</t>
  </si>
  <si>
    <t>Pharmacology.</t>
  </si>
  <si>
    <t>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t>
  </si>
  <si>
    <t>51.2003 - Pharmaceutics and Drug Design., 51.2010 - Pharmaceutical Sciences.</t>
  </si>
  <si>
    <t>Molecular Pharmacology.</t>
  </si>
  <si>
    <t>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t>
  </si>
  <si>
    <t>Neuropharmacology.</t>
  </si>
  <si>
    <t>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t>
  </si>
  <si>
    <t>Toxicology.</t>
  </si>
  <si>
    <t>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t>
  </si>
  <si>
    <t>Molecular Toxicology.</t>
  </si>
  <si>
    <t>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t>
  </si>
  <si>
    <t>Environmental Toxicology.</t>
  </si>
  <si>
    <t>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t>
  </si>
  <si>
    <t>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t>
  </si>
  <si>
    <t>26.1001 - Pharmacology., 26.1004 - Toxicology.</t>
  </si>
  <si>
    <t>Pharmacology and Toxicology, Other.</t>
  </si>
  <si>
    <t>Any instructional program in pharmacology and toxicology not listed above.</t>
  </si>
  <si>
    <t>Biomathematics, Bioinformatics, and Computational Biology.</t>
  </si>
  <si>
    <t>Instructional content for this group of programs is defined in codes 26.1101 - 26.1199.</t>
  </si>
  <si>
    <t>Biometry/Biometrics.</t>
  </si>
  <si>
    <t>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t>
  </si>
  <si>
    <t>27.0306 - Mathematical Biology.</t>
  </si>
  <si>
    <t>Biostatistics.</t>
  </si>
  <si>
    <t>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t>
  </si>
  <si>
    <t>27.0501 - Statistics, General.</t>
  </si>
  <si>
    <t>Bioinformatics.</t>
  </si>
  <si>
    <t>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t>
  </si>
  <si>
    <t>51.2706 - Medical Informatics., 11.0104 - Informatics.</t>
  </si>
  <si>
    <t>Computational Biology.</t>
  </si>
  <si>
    <t>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t>
  </si>
  <si>
    <t>Examples: - Computational and Systems Biology</t>
  </si>
  <si>
    <t>Biomathematics, Bioinformatics, and Computational Biology, Other.</t>
  </si>
  <si>
    <t>Any instructional program in biomathematics, bioinformatics, and computational biology not listed above.</t>
  </si>
  <si>
    <t>Examples: - Biomathematics</t>
  </si>
  <si>
    <t>Biotechnology.</t>
  </si>
  <si>
    <t>Instructional content is defined in code 26.1201.</t>
  </si>
  <si>
    <t>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t>
  </si>
  <si>
    <t>Ecology, Evolution, Systematics, and Population Biology.</t>
  </si>
  <si>
    <t>Instructional content for this group of programs is defined in codes 26.1301 - 26.1399.</t>
  </si>
  <si>
    <t>Ecology.</t>
  </si>
  <si>
    <t>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t>
  </si>
  <si>
    <t>Examples: - Ecosystem Science</t>
  </si>
  <si>
    <t>Marine Biology and Biological Oceanography.</t>
  </si>
  <si>
    <t>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t>
  </si>
  <si>
    <t>40.0607 - Oceanography, Chemical and Physical., 03.0301 - Fishing and Fisheries Sciences and Management., 30.3201 - Marine Sciences.</t>
  </si>
  <si>
    <t>Evolutionary Biology.</t>
  </si>
  <si>
    <t>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t>
  </si>
  <si>
    <t>Aquatic Biology/Limnology.</t>
  </si>
  <si>
    <t>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t>
  </si>
  <si>
    <t>03.0205 - Water, Wetlands, and Marine Resources Management.</t>
  </si>
  <si>
    <t>Examples: - Aquatic Ecology</t>
  </si>
  <si>
    <t>Environmental Biology.</t>
  </si>
  <si>
    <t>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t>
  </si>
  <si>
    <t>03.0104 - Environmental Science.</t>
  </si>
  <si>
    <t>Examples: - Environmental Microbiology</t>
  </si>
  <si>
    <t>Population Biology.</t>
  </si>
  <si>
    <t>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t>
  </si>
  <si>
    <t>Conservation Biology.</t>
  </si>
  <si>
    <t>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t>
  </si>
  <si>
    <t>03.0101 - Natural Resources/Conservation, General., 03.0104 - Environmental Science.</t>
  </si>
  <si>
    <t>Systematic Biology/Biological Systematics.</t>
  </si>
  <si>
    <t>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t>
  </si>
  <si>
    <t>Epidemiology.</t>
  </si>
  <si>
    <t>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t>
  </si>
  <si>
    <t>51.2201 - Public Health, General.</t>
  </si>
  <si>
    <t>Ecology and Evolutionary Biology.</t>
  </si>
  <si>
    <t>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t>
  </si>
  <si>
    <t>26.1301 - Ecology., 26.1303 - Evolutionary Biology.</t>
  </si>
  <si>
    <t>Epidemiology and Biostatistics.</t>
  </si>
  <si>
    <t>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t>
  </si>
  <si>
    <t>Ecology, Evolution, Systematics and Population Biology, Other.</t>
  </si>
  <si>
    <t>Any instructional program in ecology, evolution, and systematics not listed above.</t>
  </si>
  <si>
    <t>Molecular Medicine.</t>
  </si>
  <si>
    <t>Instructional content is defined in code 26.1401.</t>
  </si>
  <si>
    <t>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t>
  </si>
  <si>
    <t>Neurobiology and Neurosciences.</t>
  </si>
  <si>
    <t>Instructional content for this group of programs is defined in codes 26.1501 - 26.1599.</t>
  </si>
  <si>
    <t>Neuroscience.</t>
  </si>
  <si>
    <t>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t>
  </si>
  <si>
    <t>Examples: - Behavioral Neuroscience, - Cognitive Neuroscience, - Computational Neuroscience, - Developmental Neuroscience, - Molecular and Cellular Neuroscience, - Systems Neuroscience</t>
  </si>
  <si>
    <t>Neuroanatomy.</t>
  </si>
  <si>
    <t>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t>
  </si>
  <si>
    <t>Neurobiology and Anatomy.</t>
  </si>
  <si>
    <t>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t>
  </si>
  <si>
    <t>Examples: - Neurobiology and Neurophysiology</t>
  </si>
  <si>
    <t>Neurobiology and Behavior.</t>
  </si>
  <si>
    <t>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t>
  </si>
  <si>
    <t>30.1701 - Behavioral Sciences., 30.1001 - Biopsychology., 42.2706 - Behavioral Neuroscience.</t>
  </si>
  <si>
    <t>Neurobiology and Neurosciences, Other.</t>
  </si>
  <si>
    <t>Any instructional program in neurobiology and neurosciences not listed above.</t>
  </si>
  <si>
    <t>Examples: - Medical Neurobiology, - Computational Neurobiology</t>
  </si>
  <si>
    <t>Biological and Biomedical Sciences, Other.</t>
  </si>
  <si>
    <t>Instructional content is defined in code 26.9999.</t>
  </si>
  <si>
    <t>Any instructional program in the biological and biomedical sciences not listed above.</t>
  </si>
  <si>
    <t>MATHEMATICS AND STATISTICS.</t>
  </si>
  <si>
    <t>Instructional programs that focus on the systematic study of logical symbolic language and its applications.</t>
  </si>
  <si>
    <t>Mathematics.</t>
  </si>
  <si>
    <t>Instructional content for this group of programs is defined in codes 27.0101 - 27.0199.</t>
  </si>
  <si>
    <t>Mathematics, General.</t>
  </si>
  <si>
    <t>A general program that focuses on the analysis of quantities, magnitudes, forms, and their relationships, using symbolic logic and language.  Includes instruction in algebra, calculus, functional analysis, geometry, number theory, logic, topology and other mathematical specializations.</t>
  </si>
  <si>
    <t>Algebra and Number Theory.</t>
  </si>
  <si>
    <t>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t>
  </si>
  <si>
    <t>Analysis and Functional Analysis.</t>
  </si>
  <si>
    <t>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t>
  </si>
  <si>
    <t>Geometry/Geometric Analysis.</t>
  </si>
  <si>
    <t>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t>
  </si>
  <si>
    <t>Topology and Foundations.</t>
  </si>
  <si>
    <t>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t>
  </si>
  <si>
    <t>Mathematics, Other.</t>
  </si>
  <si>
    <t>Any program in mathematics not listed above.</t>
  </si>
  <si>
    <t>Applied Mathematics.</t>
  </si>
  <si>
    <t>Instructional content for this group of programs is defined in codes 27.0301 - 27.0399.</t>
  </si>
  <si>
    <t>Applied Mathematics, General.</t>
  </si>
  <si>
    <t>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t>
  </si>
  <si>
    <t>Examples: - Fundamental Analysis and Real Variables, - Mathematical Analysis, - Numerical Analysis/Methods/Computation</t>
  </si>
  <si>
    <t>Computational Mathematics.</t>
  </si>
  <si>
    <t>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t>
  </si>
  <si>
    <t>Computational and Applied Mathematics.</t>
  </si>
  <si>
    <t>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t>
  </si>
  <si>
    <t>27.0303 - Computational Mathematics., 27.0301 - Applied Mathematics, General.</t>
  </si>
  <si>
    <t>Financial Mathematics.</t>
  </si>
  <si>
    <t>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t>
  </si>
  <si>
    <t>Examples: - Mathematical Finance, - Quantitative Finance, - Quantitative and Computational Finance</t>
  </si>
  <si>
    <t>Mathematical Biology.</t>
  </si>
  <si>
    <t>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t>
  </si>
  <si>
    <t>26.1101 - Biometry/Biometrics.</t>
  </si>
  <si>
    <t>Applied Mathematics, Other.</t>
  </si>
  <si>
    <t>Any instructional program in applied mathematics not listed above.</t>
  </si>
  <si>
    <t>Examples: - Combinatorics and Optimization</t>
  </si>
  <si>
    <t>Statistics.</t>
  </si>
  <si>
    <t>Instructional content for this group of programs is defined in codes 27.0501 - 27.0599.</t>
  </si>
  <si>
    <t>Statistics, General.</t>
  </si>
  <si>
    <t>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t>
  </si>
  <si>
    <t>26.1102 - Biostatistics., 13.0603 - Educational Statistics and Research Methods., 45.0102 - Research Methodology and Quantitative Methods., 30.7102 - Business Analytics.</t>
  </si>
  <si>
    <t>Mathematical Statistics and Probability.</t>
  </si>
  <si>
    <t>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t>
  </si>
  <si>
    <t>Mathematics and Statistics.</t>
  </si>
  <si>
    <t>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t>
  </si>
  <si>
    <t>27.0101 - Mathematics, General., 27.0501 - Statistics, General.</t>
  </si>
  <si>
    <t>Statistics, Other.</t>
  </si>
  <si>
    <t>Any instructional program in statistics not listed above.</t>
  </si>
  <si>
    <t>Applied Statistics.</t>
  </si>
  <si>
    <t>Instructional content is defined in code 27.0601.</t>
  </si>
  <si>
    <t>Applied Statistics, General.</t>
  </si>
  <si>
    <t>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t>
  </si>
  <si>
    <t>Mathematics and Statistics, Other.</t>
  </si>
  <si>
    <t>Instructional content is defined in code 27.9999.</t>
  </si>
  <si>
    <t>Any instructional program in mathematics and  statistics not listed above.</t>
  </si>
  <si>
    <t>MILITARY SCIENCE, LEADERSHIP AND OPERATIONAL ART.</t>
  </si>
  <si>
    <t>Instructional programs that provide professional education and training of military officers in leadership, military science and operational studies, security policy and strategy, military economics and management, and pre-officer training. These CIP codes are not valid for IPEDS reporting.</t>
  </si>
  <si>
    <t>Air Force ROTC, Air Science and Operations.</t>
  </si>
  <si>
    <t>Instructional content for this group of programs is defined in codes 28.0101 - 28.0199. These CIP codes are not valid for IPEDS reporting.</t>
  </si>
  <si>
    <t>Air Force JROTC/ROTC.</t>
  </si>
  <si>
    <t>A program that introduces students to the theory and practice of air science, life in the U.S. Air Force, and prepares them for cadet status (Junior ROTC or JROTC) or for service as commissioned reserve or active duty officers (senior AFROTC or ROTC).  Programs are offered as adjuncts to regular high school or college instructional programs. This CIP code is not valid for IPEDS reporting.</t>
  </si>
  <si>
    <t>Air Force ROTC, Air Science and Operations, Other.</t>
  </si>
  <si>
    <t>Any instructional program in Air Force ROTC, air science and operations not listed above. This CIP code is not valid for IPEDS reporting.</t>
  </si>
  <si>
    <t>Army ROTC, Military Science and Operations.</t>
  </si>
  <si>
    <t>Instructional content for this group of programs is defined in codes 28.0301 - 28.0399. These CIP codes are not valid for IPEDS reporting.</t>
  </si>
  <si>
    <t>Army JROTC/ROTC.</t>
  </si>
  <si>
    <t>A program that introduces students to the theory and practice of military science, life in the U.S. Army, and prepares them for cadet status (Junior ROTC or JROTC) or for service as commissioned reserve or active duty officers (senior AROTC or ROTC).  Programs are offered as adjuncts to regular high school or college instructional programs. This CIP code is not valid for IPEDS reporting.</t>
  </si>
  <si>
    <t>Army ROTC, Military Science and Operations, Other.</t>
  </si>
  <si>
    <t>Any instructional program in Army ROTC, military science and operations not listed above. This CIP code is not valid for IPEDS reporting.</t>
  </si>
  <si>
    <t>Navy/Marine ROTC, Naval Science and Operations.</t>
  </si>
  <si>
    <t>Instructional content for this group of programs is defined in codes 28.0401 - 28.0499. These CIP codes are not valid for IPEDS reporting.</t>
  </si>
  <si>
    <t>Navy/Marine Corps JROTC/ROTC.</t>
  </si>
  <si>
    <t>A program that introduces students to the theory and practice of naval science, life in the U.S. Navy and/or Marine Corps, and prepares them for cadet status (Junior ROTC or JROTC) or for service as commissioned reserve or active duty officers (senior NROTC or ROTC).  Programs are offered as adjuncts to regular high school or college instructional programs. This CIP code is not valid for IPEDS reporting.</t>
  </si>
  <si>
    <t>Navy/Marine Corps ROTC, Naval Science and Operations, Other.</t>
  </si>
  <si>
    <t>Any instructional program in Navy/Marine Corps ROTC, naval science and operations not listed above. This CIP code is not valid for IPEDS reporting.</t>
  </si>
  <si>
    <t>Military Science and Operational Studies.</t>
  </si>
  <si>
    <t>Instructional content for this group of programs is defined in codes 28.0501 - 28.0599. These CIP codes are not valid for IPEDS reporting.</t>
  </si>
  <si>
    <t>Air Science/Airpower Studies.</t>
  </si>
  <si>
    <t>A program that focuses on the theory, doctrine and principles of airpower in the tactical and strategic contexts, as well as in conjunction with other armed forces.  Includes instruction in air warfighting, leadership and ethics, national security decisionmaking, strategic studies, global security, joint and coalition operations, and applicable regional or cultural studies and research methods. This CIP code is not valid for IPEDS reporting.</t>
  </si>
  <si>
    <t>Examples: - Strategic Airpower Studies</t>
  </si>
  <si>
    <t>Air and Space Operational Art and Science.</t>
  </si>
  <si>
    <t>A program that focuses on the principles and art of leading, managing, and conducting air force operations on the ground, in the air, and in space.  Includes instruction in leadership, staff operations, principles of command, air and space warfare, expeditionary operations, campaign planning, tactics and strategy. This CIP code is not valid for IPEDS reporting.</t>
  </si>
  <si>
    <t>Military Operational Art and Science/Studies.</t>
  </si>
  <si>
    <t>A program that focuses on the study of military operational issues and the preparation of field officers for warfighting, leadership, and related capabilities in land and joint operations.  Includes instruction in leadership studies, military culture, national security policy, joint campaign planning, strategic estimation, strategic logistics, tactical and strategic doctrine, force capabilities, command and control, intelligence, movement, firepower, attack and defense, multinational issues, space operations, and applications to specific regional and operational issues. This CIP code is not valid for IPEDS reporting.</t>
  </si>
  <si>
    <t>Advanced Military and Operational Studies.</t>
  </si>
  <si>
    <t>A program that focuses on military operational issues at the theatre and general strategic level, emphasizing both land force operations and joint operations related to peacekeeping, war, and other emergencies. Includes instruction in military theory, military history, national and military strategy, campaign design and planning, senior leadership, theatre operational technologies and communications, civil-military relations, and applications to the study of specific world regions and types of operations. This CIP code is not valid for IPEDS reporting.</t>
  </si>
  <si>
    <t>Naval Science and Operational Studies.</t>
  </si>
  <si>
    <t>A program that focuses on in-depth professional study of naval warfare and related combined/joint operations at the tactical, operational and strategic levels.  Includes instruction in maritime security, naval warfighting, naval tactics, naval strategy, operational art, planning and conducting joint operations, command and control, civil-military relations, information networking, leadership, ocean and nearshore operations, and related subjects. This CIP code is not valid for IPEDS reporting.</t>
  </si>
  <si>
    <t>Special, Irregular and Counterterrorist Operations.</t>
  </si>
  <si>
    <t>A program that focuses on the role and use of special operations forces in the context of low-intensity warfare such as asymmetric warfare and counterterrorism as well as irregular operations in conventional warfare.  Includes instruction in special operations doctrine, equipment, support and strategy; the role of civilian leadership and the joint staffs; mission selection and employment; integration with regular forces; civil relations and psychological warfare. This CIP code is not valid for IPEDS reporting.</t>
  </si>
  <si>
    <t>Examples: - Special Operations, - Low-Intensity Warfare, - Irregular and Guerilla Warfare, - Terrorism and Counterterorrism</t>
  </si>
  <si>
    <t>Military Science and Operational Studies, Other.</t>
  </si>
  <si>
    <t>Any instructional program in military science and operational studies not listed above. This CIP code is not valid for IPEDS reporting.</t>
  </si>
  <si>
    <t>Security Policy and Strategy.</t>
  </si>
  <si>
    <t>Instructional content for this group of programs is defined in codes 28.0601 - 28.0699. These CIP codes are not valid for IPEDS reporting.</t>
  </si>
  <si>
    <t>Strategic Studies, General.</t>
  </si>
  <si>
    <t>A program that focuses on coercion theory, defense strategy, warfighting, and strategic operations in the context of joint or combined operations, coalitions, and overall national security.  May be offered at the advanced level and in the context of one or more armed forces, and may focus on various scenarios including campaign, theatre, joint, global and advanced strategy. This CIP code is not valid for IPEDS reporting.</t>
  </si>
  <si>
    <t>45.0902 - National Security Policy Studies.</t>
  </si>
  <si>
    <t>Military and Strategic Leadership.</t>
  </si>
  <si>
    <t>A program that focuses on the analysis and systematic study of the intersection between leadership and operational art at the tactical and/or strategic levels.  Includes instruction in leadership case studies, the dynamics of battle and associated  responsibilities, the use of opportunities and resources, the human and physical dimensions of warfare, the effects of technology and logistics, doctrine, logistics, stress and the legal authority of command. This CIP code is not valid for IPEDS reporting.</t>
  </si>
  <si>
    <t>Military and International Operational Law.</t>
  </si>
  <si>
    <t>A program that focuses on the international and domestic law applicable to the armed forces, in war and peace.  Includes instruction in the Uniform Code of Military Justice, case law and legislation, international law and treaties, warfighting doctrine, leadership and ethics, peacekeeping, and related issues affecting combatants, prisoners, and noncombatants. This CIP code is not valid for IPEDS reporting.</t>
  </si>
  <si>
    <t>Joint Operations Planning and Strategy.</t>
  </si>
  <si>
    <t>A program that focuses on the principles, operational methods and strategy of planning and conducting joint military operations.  Includes instruction in civil-military affairs, effects-based operations, interservice doctrine, force integration and force multipliers, multinational forces, and applications specific to air, army, military, special forces and asymmetric contexts. This CIP code is not valid for IPEDS reporting.</t>
  </si>
  <si>
    <t>Examples: - Force Doctrine</t>
  </si>
  <si>
    <t>Weapons of Mass Destruction.</t>
  </si>
  <si>
    <t>A program that focuses on the scientific principles, technology, policy issues and operational art required to prevent the spread and combat the effects of weapons of mass destruction, defined as chemical, biological and nuclear devices as well as some conventional weapons.  Includes instruction in the scientific foundations of such weaponry, production, weaponization, effects protection and mitigation, state and terrorist threat analysis, and applications to specific weapon types and scenarios. This CIP code is not valid for IPEDS reporting.</t>
  </si>
  <si>
    <t>Examples: - Nuclear Weapons and Counterproliferation, - Combating Weapons of Mass Destruction</t>
  </si>
  <si>
    <t>National Security Policy and Strategy, Other.</t>
  </si>
  <si>
    <t>Any instructional program in national security policy and strategy not listed above. This CIP code is not valid for IPEDS reporting.</t>
  </si>
  <si>
    <t>Military Economics and Management.</t>
  </si>
  <si>
    <t>Instructional content for this group of programs is defined in codes 28.0701 - 28.0799. These CIP codes are not valid for IPEDS reporting.</t>
  </si>
  <si>
    <t>National Resource Strategy and Policy.</t>
  </si>
  <si>
    <t>A program that focuses on the application of economics, policy analysis, management and leadership studies to the formulation of national strategy and security policy in the context of the international economy.  Includes instruction in military strategy and logistics, strategic leadership, national and international economic policy, national security policy, acquisition and procurement, industry economics and studies of specific regions, industries or issues. This CIP code is not valid for IPEDS reporting.</t>
  </si>
  <si>
    <t>Industry Studies.</t>
  </si>
  <si>
    <t>A program that focuses on the study of specific industries and economic sectors from domestic and comparative perspectives in order to assess strength, weakness and relationship to national security needs.  Includes instruction in resource economics, finance and monetary policy, industrial economics, econometrics and forecasting, labor and organizational studies, technology policy, national security policy, military strategy, acquisition needs assessment, crisis management, international economics and development studies. This CIP code is not valid for IPEDS reporting.</t>
  </si>
  <si>
    <t>Military Installation Management.</t>
  </si>
  <si>
    <t>A program that focuses on the planning, acquisition and management of military bases, housing, installations and other facilities plus their associated buildings, systems, equipment, staffing and maintenance.  Includes instruction in operations management, acquisitions planning, contracts management, building construction, real estate, facilities management, hospitality management, administrative budgeting and finance, personnel supervision and leadership, related regulations and policies, and applications to specific service requirements, operational needs, and types of facilities. This CIP code is not valid for IPEDS reporting.</t>
  </si>
  <si>
    <t>Military Economics and Management, Other.</t>
  </si>
  <si>
    <t>Any instructional program in military economics and management not listed above. This CIP code is not valid for IPEDS reporting.</t>
  </si>
  <si>
    <t>Instructional content is defined in code 28.0801. These CIP codes are not valid for IPEDS reporting.</t>
  </si>
  <si>
    <t>Military Science, Leadership and Operational Art, Other.</t>
  </si>
  <si>
    <t>Instructional content is defined in code 28.9999. These CIP codes are not valid for IPEDS reporting.</t>
  </si>
  <si>
    <t>Any instructional program in military science, leadership and operational art not listed above. This CIP code is not valid for IPEDS reporting.</t>
  </si>
  <si>
    <t>MILITARY TECHNOLOGIES AND APPLIED SCIENCES.</t>
  </si>
  <si>
    <t>Instructional programs that prepare individuals in specialized and advanced subject matter for the armed services and related national security organizations, including intelligence operations, military applied sciences, and military technologies.</t>
  </si>
  <si>
    <t>Intelligence, Command Control and Information Operations.</t>
  </si>
  <si>
    <t>Instructional content for this group of programs is defined in codes 29.0201 - 29.0299.</t>
  </si>
  <si>
    <t>Intelligence, General.</t>
  </si>
  <si>
    <t>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t>
  </si>
  <si>
    <t>Strategic Intelligence.</t>
  </si>
  <si>
    <t>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t>
  </si>
  <si>
    <t>Signal/Geospatial Intelligence.</t>
  </si>
  <si>
    <t>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t>
  </si>
  <si>
    <t>Examples: - Advanced Geospatial Intelligence</t>
  </si>
  <si>
    <t>Command &amp; Control (C3, C4I) Systems and Operations.</t>
  </si>
  <si>
    <t>A program that focuses on the theory, technology and operational use of information and decision systems in support of battlefield, theatre, and global strategic operations.  Includes instruction in applied mathematics and statistics, computer systems, real-time analysis and decision systems, surveillance and navigation systems, information and communications technology, information security, situational awareness, system integration, joint operations and applications to specific command problems and services.</t>
  </si>
  <si>
    <t>Information Operations/Joint Information Operations.</t>
  </si>
  <si>
    <t>A program that focuses on the strategic and operational use of information relative to the support of military and strategic policy and objectives.  Includes instruction in information technology, decision theory and applications, military operations, command and control technology, network operations, network systems integration, computer network defense, space communications technology, and applications to specific military operational tasks.</t>
  </si>
  <si>
    <t>Information/Psychological Warfare and Military Media Relations.</t>
  </si>
  <si>
    <t>A program that focuses on the support of military and strategic operations and policy via the use of information as a tool of statecraft and warfighting.  Includes instruction in information technology and systems, information security, command and control, satellite communications, global information dissemination, communications and media management, intelligence, psychological warfare, strategic planning, security policy and doctrine, and applications to specific operations, services, and scenarios.</t>
  </si>
  <si>
    <t>Cyber/Electronic Operations and Warfare.</t>
  </si>
  <si>
    <t>A program that focuses on the technological and operation aspects of information warfare, including cyber attack and cyber defense.  Includes instruction in computer and network security, cryptography, computer forensics, systems security engineering, software applications, threat and vulnerability assessment, wireless networks and satellite communications, tactical and strategic planning, legal and ethical issues, and cyber warfare systems development and acquisition.</t>
  </si>
  <si>
    <t>Examples: - Cyberspace Operations, - Electronic Warfare, - Information Warfare</t>
  </si>
  <si>
    <t>Intelligence, Command Control and Information Operations, Other.</t>
  </si>
  <si>
    <t>Any instructional program in intelligence, command control and information operations not listed above.</t>
  </si>
  <si>
    <t>Military Applied Sciences.</t>
  </si>
  <si>
    <t>Instructional content for this group of programs is defined in codes 29.0301 - 29.0399.</t>
  </si>
  <si>
    <t>Combat Systems Engineering.</t>
  </si>
  <si>
    <t>A program that focuses on the application of systems engineering and system architecture to the design and construction of modern combat systems and their integration with each other, with host platforms and with other forces into network-centric warfighting systems.  Includes instruction in systems engineering, computer programming, chemical systems, biological systems, material systems, human factors, combat environments, sensor systems, threat and system risk assessment, conventional and unconventional weapons, combat simulation, reliability and maintenance, testing, engineering project management, strategic planning and applications to aerospace, ground, and naval combat systems.</t>
  </si>
  <si>
    <t>Directed Energy Systems.</t>
  </si>
  <si>
    <t>A program that focuses on the study of lasers and other directed energy phenomena and their application to the creation of energy beam weapons systems.  Includes instruction in photonics, electro-optics, microwave phenomena, laser chemistry, spectroscopy, chemical lasers, fibre lasers, imaging and optics, laser propagation and control, laser communication, infrared remote sensing, modeling and simulation, and related technologies.</t>
  </si>
  <si>
    <t>Engineering Acoustics.</t>
  </si>
  <si>
    <t>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t>
  </si>
  <si>
    <t>Low-Observables and Stealth Technology.</t>
  </si>
  <si>
    <t>A program that focuses on the application of electromagnetic field theory, electro-optics and materials science to the reduction of radar, optical and acoustic signatures of weapons systems.  Includes instruction in computational electromagnetics, electro-optics, acoustics, guided wave theory, radiation capture, antenna applications in layered environments, material characterization, radar cross-section analysis, sonar signature analysis, non-destructive testing, remote sensing, and applications to specific weapons systems and operational environments.</t>
  </si>
  <si>
    <t>Space Systems Operations.</t>
  </si>
  <si>
    <t>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t>
  </si>
  <si>
    <t>Operational Oceanography.</t>
  </si>
  <si>
    <t>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t>
  </si>
  <si>
    <t>Undersea Warfare.</t>
  </si>
  <si>
    <t>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t>
  </si>
  <si>
    <t>Military Applied Sciences, Other.</t>
  </si>
  <si>
    <t>Any instructional program in military applied sciences not listed above.</t>
  </si>
  <si>
    <t>Military Systems and Maintenance Technology.</t>
  </si>
  <si>
    <t>Instructional content for this group of programs is defined in codes 29.0401 - 29.0499.</t>
  </si>
  <si>
    <t>Aerospace Ground Equipment Technology.</t>
  </si>
  <si>
    <t>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t>
  </si>
  <si>
    <t>Air and Space Operations Technology.</t>
  </si>
  <si>
    <t>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t>
  </si>
  <si>
    <t>Aircraft Armament Systems Technology.</t>
  </si>
  <si>
    <t>A program that focuses on the principles, technology and maintenance of aircraft weapons systems and associated peripherals.  Includes instruction in basic science and quantitative methods, computer science, electronics, engineering graphics, fluid power, heavy equipment operation, armament systems, weapon materials and processes, weapon safety, corrosion control, aircraft systems maintenance, and maintenance management.</t>
  </si>
  <si>
    <t>Explosive Ordinance/Bomb Disposal.</t>
  </si>
  <si>
    <t>A program that focuses on the identification, containment, analysis and neutralization of explosive devices.  Includes instruction in nuclear science, computer science, ordinance and bomb systems, electronics, computer science, industrial radiography, non-destructive testing, equipment operation, inventory management, investigative techniques, forensics, schematic interpretation, safety procedures, site containment and emergency medicine.</t>
  </si>
  <si>
    <t>Joint Command/Task Force (C3, C4I) Systems.</t>
  </si>
  <si>
    <t>A program that focuses on the principles, technology and operational use of command and control (C3, C4I) systems as applied to joint and combined military operations involving unified commands.  Includes instruction in information technology, communications systems, network systems and architecture, systems engineering, C3 and C4I doctrine and policy, C3 and C4I systems management, intelligence, operational and strategic planning, interagency operations, operational security and deception.</t>
  </si>
  <si>
    <t>Military Information Systems Technology.</t>
  </si>
  <si>
    <t>A program that focuses on the principles, design and application of computer and networking technology to the military environment. Includes instruction in planning; program development; graphical user interfaces; rapid prototyping; program construction; data types, operations; control flow; arrays; records; file I/O; database access; event-driven OOP structures; and enabling global-networked communications, including databases, systems analysis and design, decision support systems, and network security.</t>
  </si>
  <si>
    <t>Missile and Space Systems Technology.</t>
  </si>
  <si>
    <t>A program that focuses on the principles, technology and maintenance of rocket systems, guided missiles, and space vehicles as well as related systems.  Includes instruction in engineering mechanics, engineering graphics, materials and processes, electronics, propellant and guidance systems, control systems, fluid power, nuclear and conventional weapons systems, hazardous materials, non-destructive inspection and testing, quality assurance, safety procedures and maintenance management.</t>
  </si>
  <si>
    <t>Munitions Systems/Ordinance Technology.</t>
  </si>
  <si>
    <t>A program that focuses on the principles, technology and maintenance of ground or sea-based weapons systems, ordinance and munitions.  Includes instruction in basic sciences, electronics, systems technology, fluid power, computer science, conventional weapons systems, nuclear weapons systems, munitions systems, storage and safety, equipment operation, guidance and control systems, hazardous materials, corrosion control, nondestructive testing and quality control, and maintenance management.</t>
  </si>
  <si>
    <t>Radar Communications and Systems Technology.</t>
  </si>
  <si>
    <t>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t>
  </si>
  <si>
    <t>Military Systems and Maintenance Technology, Other.</t>
  </si>
  <si>
    <t>Any instructional program in military systems and maintenance technology not listed above.</t>
  </si>
  <si>
    <t>Instructional content is defined in code 29.0501.</t>
  </si>
  <si>
    <t>Military Technology and Applied Sciences Management.</t>
  </si>
  <si>
    <t>Instructional content is defined in code 29.0601.</t>
  </si>
  <si>
    <t>A program that focuses on applied military science, military operations, intelligence gathering, military technology, and national security. Includes instruction in computer science, engineering, ethics, field training, leadership, military strategy, logistics, management skills, and politics.</t>
  </si>
  <si>
    <t>Military Technologies and Applied Sciences, Other.</t>
  </si>
  <si>
    <t>Instructional content is defined in code 29.9999.</t>
  </si>
  <si>
    <t>Any instructional program in military technologies and applied sciences not listed above.</t>
  </si>
  <si>
    <t>MULTI/INTERDISCIPLINARY STUDIES.</t>
  </si>
  <si>
    <t>Instructional programs that derive from two or more distinct programs to provide a cross-cutting focus on a subject concentration that is not subsumed under a single discipline or occupational field.</t>
  </si>
  <si>
    <t>Multi-/Interdisciplinary Studies, General.</t>
  </si>
  <si>
    <t>Instructional content for this group of programs is defined in codes 30.0000 - 30.0001.</t>
  </si>
  <si>
    <t>A program that derives from two or more distinct programs and that is integrated around a unifying theme or topic that cannot be subsumed under a single discipline or occupational field.</t>
  </si>
  <si>
    <t>Examples: - Student-Designed Major</t>
  </si>
  <si>
    <t>Comprehensive Transition and Postsecondary (CTP) Program.</t>
  </si>
  <si>
    <t>A comprehensive transition and postsecondary (CTP) program that provides students with intellectual disabilities with academic enrichment, socialization, independent living skills, self-advocacy skills, and integrated work experiences and career skills that lead to gainful employment.</t>
  </si>
  <si>
    <t>Biological and Physical Sciences.</t>
  </si>
  <si>
    <t>Instructional content is defined in code 30.0101.</t>
  </si>
  <si>
    <t>A program that is either a general synthesis of one or more of the biological and physical sciences, or a specialization which draws from the biological and physical sciences.</t>
  </si>
  <si>
    <t>26.0101 - Biology/Biological Sciences, General., 40.0101 - Physical Sciences, General.</t>
  </si>
  <si>
    <t>Examples: - Astrobiology</t>
  </si>
  <si>
    <t>Peace Studies and Conflict Resolution.</t>
  </si>
  <si>
    <t>Instructional content is defined in code 30.0501.</t>
  </si>
  <si>
    <t>A program that focuses on the origins, resolution and prevention of international and inter-group conflicts. Includes instruction in peace research methods and related social scientific and psychological knowledge bases.</t>
  </si>
  <si>
    <t>30.2801 - Dispute Resolution.</t>
  </si>
  <si>
    <t>Systems Science and Theory.</t>
  </si>
  <si>
    <t>Instructional content is defined in code 30.0601.</t>
  </si>
  <si>
    <t>A program with a multidisciplinary approach to the analysis and solution of complex problems, requiring a combined approach using data and models from the natural, social, technological, behavioral and life sciences, and other specialized fields.</t>
  </si>
  <si>
    <t>Mathematics and Computer Science.</t>
  </si>
  <si>
    <t>Instructional content is defined in code 30.0801.</t>
  </si>
  <si>
    <t>A program with a general synthesis of mathematics and computer science or a specialization which draws from mathematics and computer science.</t>
  </si>
  <si>
    <t>11.0701 - Computer Science., 27.0101 - Mathematics, General.</t>
  </si>
  <si>
    <t>Biopsychology.</t>
  </si>
  <si>
    <t>Instructional content is defined in code 30.1001.</t>
  </si>
  <si>
    <t>A program that focuses on biological and psychological linkages, especially the linkages between biochemical and biophysical activity and the functioning of the central nervous system.</t>
  </si>
  <si>
    <t>42.2706 - Behavioral Neuroscience.</t>
  </si>
  <si>
    <t>Gerontology.</t>
  </si>
  <si>
    <t>Instructional content is defined in code 30.1101.</t>
  </si>
  <si>
    <t>A program that focuses on the human aging process and aged human populations, using the knowledge and methodologies of the social sciences, psychology and the biological and health sciences.</t>
  </si>
  <si>
    <t>19.0702 - Adult Development and Aging., 42.2809 - Geropsychology.</t>
  </si>
  <si>
    <t>Historic Preservation and Conservation.</t>
  </si>
  <si>
    <t>Instructional content for this group of programs is defined in codes 30.1201 - 30.1299.</t>
  </si>
  <si>
    <t>Historic Preservation and Conservation, General.</t>
  </si>
  <si>
    <t>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t>
  </si>
  <si>
    <t>04.0802 - Architectural Conservation.</t>
  </si>
  <si>
    <t>Cultural Resource Management and Policy Analysis.</t>
  </si>
  <si>
    <t>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t>
  </si>
  <si>
    <t>Historic Preservation and Conservation, Other.</t>
  </si>
  <si>
    <t>Any instructional program that focuses on architectural design and building techniques for historic and restored structures not listed above.</t>
  </si>
  <si>
    <t>Medieval and Renaissance Studies.</t>
  </si>
  <si>
    <t>Instructional content is defined in code 30.1301.</t>
  </si>
  <si>
    <t>A program that focuses on the  study of the Medieval and/or Renaissance periods in European and circum-Mediterranean history from the perspective of various disciplines in the humanities and social sciences, including history and archeology, as well as studies of period art and music.</t>
  </si>
  <si>
    <t>Examples: - Medieval Studies, - Renaissance Studies</t>
  </si>
  <si>
    <t>Museology/Museum Studies.</t>
  </si>
  <si>
    <t>Instructional content is defined in code 30.1401.</t>
  </si>
  <si>
    <t>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t>
  </si>
  <si>
    <t>50.1002 - Fine and Studio Arts Management.</t>
  </si>
  <si>
    <t>Science, Technology and Society.</t>
  </si>
  <si>
    <t>Instructional content is defined in code 30.1501.</t>
  </si>
  <si>
    <t>A program that focuses on the contemporary social and public policy ramifications of science and technology, the interrelationship of science and engineering with the public policy process, and the social and ethical dimensions of scientific and technological enterprises.</t>
  </si>
  <si>
    <t>54.0104 - History and Philosophy of Science and Technology., 51.3205 - History of Medicine.</t>
  </si>
  <si>
    <t>Examples: - Social Studies of Science</t>
  </si>
  <si>
    <t>Accounting and Computer Science.</t>
  </si>
  <si>
    <t>Instructional content is defined in code 30.1601.</t>
  </si>
  <si>
    <t>A program that combines accounting with computer science and/or computer studies.</t>
  </si>
  <si>
    <t>11.0701 - Computer Science., 52.0301 - Accounting.</t>
  </si>
  <si>
    <t>Behavioral Sciences.</t>
  </si>
  <si>
    <t>Instructional content is defined in code 30.1701.</t>
  </si>
  <si>
    <t>A program with a combined or undifferentiated focus on the social sciences, psychology, and biomedical sciences to study complex problems of human individual and social growth and behavior.</t>
  </si>
  <si>
    <t>42.0101 - Psychology, General.</t>
  </si>
  <si>
    <t>Natural Sciences.</t>
  </si>
  <si>
    <t>Instructional content is defined in code 30.1801.</t>
  </si>
  <si>
    <t>A program with a combined or undifferentiated focus on one or more of the physical and biological sciences.</t>
  </si>
  <si>
    <t>Nutrition Sciences.</t>
  </si>
  <si>
    <t>Instructional content is defined in code 30.1901.</t>
  </si>
  <si>
    <t>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t>
  </si>
  <si>
    <t>19.0504 - Human Nutrition., 51.3102 - Clinical Nutrition/Nutritionist.</t>
  </si>
  <si>
    <t>International/Globalization Studies.</t>
  </si>
  <si>
    <t>Instructional content is defined in code 30.2001.</t>
  </si>
  <si>
    <t>A program that focuses on global and international issues from the perspective of the social sciences, social services, and related fields.</t>
  </si>
  <si>
    <t>45.0901 - International Relations and Affairs.</t>
  </si>
  <si>
    <t>Examples: - Global Studies</t>
  </si>
  <si>
    <t>Holocaust and Related Studies.</t>
  </si>
  <si>
    <t>Instructional content is defined in code 30.2101.</t>
  </si>
  <si>
    <t>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t>
  </si>
  <si>
    <t>38.0206 - Jewish/Judaic Studies.</t>
  </si>
  <si>
    <t>Classical and Ancient Studies.</t>
  </si>
  <si>
    <t>Instructional content for this group of programs is defined in codes 30.2201 - 30.2299.</t>
  </si>
  <si>
    <t>Ancient Studies/Civilization.</t>
  </si>
  <si>
    <t>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t>
  </si>
  <si>
    <t>Classical, Ancient Mediterranean, and Near Eastern Studies and Archaeology.</t>
  </si>
  <si>
    <t>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t>
  </si>
  <si>
    <t>05.0108 - Near and Middle Eastern Studies.</t>
  </si>
  <si>
    <t>Examples: - Ancient Mediterranean Studies</t>
  </si>
  <si>
    <t>Classical and Ancient Studies, Other.</t>
  </si>
  <si>
    <t>Any program in classical and ancient studies not listed above.</t>
  </si>
  <si>
    <t>Intercultural/Multicultural and Diversity Studies.</t>
  </si>
  <si>
    <t>Instructional content is defined in code 30.2301.</t>
  </si>
  <si>
    <t>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t>
  </si>
  <si>
    <t>05.0200 - Ethnic Studies., 09.0907 - International and Intercultural Communication.</t>
  </si>
  <si>
    <t>Cognitive Science.</t>
  </si>
  <si>
    <t>Instructional content for this group of programs is defined in codes 30.2501 - 30.2599.</t>
  </si>
  <si>
    <t>Cognitive Science, General.</t>
  </si>
  <si>
    <t>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t>
  </si>
  <si>
    <t>42.2701 - Cognitive Psychology and Psycholinguistics.</t>
  </si>
  <si>
    <t>Contemplative Studies/Inquiry.</t>
  </si>
  <si>
    <t>A program that focuses on the philosophical, psychological, and scientific bases of human contemplative experience. Includes instruction in cognitive science, meditation, mindfulness, neuroscience, philosophy, psychology, and religion.</t>
  </si>
  <si>
    <t>Cognitive Science, Other.</t>
  </si>
  <si>
    <t>Any instructional program in cognitive science not listed above.</t>
  </si>
  <si>
    <t>Cultural Studies/Critical Theory and Analysis.</t>
  </si>
  <si>
    <t>Instructional content is defined in code 30.2601.</t>
  </si>
  <si>
    <t>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t>
  </si>
  <si>
    <t>16.0104 - Comparative Literature., 30.3601 - Cultural Studies and Comparative Literature., 05.0212 - Comparative Group Studies.</t>
  </si>
  <si>
    <t>Examples: - Cultural Studies, - Critical Theory and Analysis</t>
  </si>
  <si>
    <t>Human Biology.</t>
  </si>
  <si>
    <t>Instructional content is defined in code 30.2701.</t>
  </si>
  <si>
    <t>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t>
  </si>
  <si>
    <t>Examples: - Biology and Society</t>
  </si>
  <si>
    <t>Dispute Resolution.</t>
  </si>
  <si>
    <t>Instructional content is defined in code 30.2801. These CIP codes are not valid for IPEDS reporting.</t>
  </si>
  <si>
    <t>A program that provides individuals with skills in negotiation, mediation, and arbitration, that can be applied to resolve disputes in a variety of settings, including business, legal, domestic, and labor relations.</t>
  </si>
  <si>
    <t>30.0501 - Peace Studies and Conflict Resolution.</t>
  </si>
  <si>
    <t>Examples: - Dispute Resolution, - Dispute and Conflict Resolution, - Negotiation and Dispute Resolution, - Alternative Dispute Resolution</t>
  </si>
  <si>
    <t>Maritime Studies.</t>
  </si>
  <si>
    <t>Instructional content is defined in code 30.2901.</t>
  </si>
  <si>
    <t>A program that focuses on the history, science, policy issues, and literature of the ocean. Includes instruction in maritime history, maritime law, maritime literature, oceanography, maritime security, and maritime politics.</t>
  </si>
  <si>
    <t>Computational Science.</t>
  </si>
  <si>
    <t>Instructional content is defined in code 30.3001.</t>
  </si>
  <si>
    <t>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t>
  </si>
  <si>
    <t>27.0303 - Computational Mathematics., 26.1104 - Computational Biology.</t>
  </si>
  <si>
    <t>Examples: - Scientific Computing</t>
  </si>
  <si>
    <t>Human Computer Interaction.</t>
  </si>
  <si>
    <t>Instructional content is defined in code 30.3101.</t>
  </si>
  <si>
    <t>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t>
  </si>
  <si>
    <t>42.2813 - Applied Psychology., 11.0105 - Human-Centered Technology Design.</t>
  </si>
  <si>
    <t>Examples: - Human Factors Psychology</t>
  </si>
  <si>
    <t>Marine Sciences.</t>
  </si>
  <si>
    <t>Instructional content is defined in code 30.3201.</t>
  </si>
  <si>
    <t>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t>
  </si>
  <si>
    <t>26.1302 - Marine Biology and Biological Oceanography.</t>
  </si>
  <si>
    <t>Sustainability Studies.</t>
  </si>
  <si>
    <t>Instructional content is defined in code 30.3301.</t>
  </si>
  <si>
    <t>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t>
  </si>
  <si>
    <t>01.0308 - Agroecology and Sustainable Agriculture.</t>
  </si>
  <si>
    <t>Examples: - Sustainability, - Sustainable Living, - Organizational and Environmental Sustainability, - Sustainability Studies</t>
  </si>
  <si>
    <t>Anthrozoology.</t>
  </si>
  <si>
    <t>Instructional content is defined in code 30.3401.</t>
  </si>
  <si>
    <t>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t>
  </si>
  <si>
    <t>Climate Science.</t>
  </si>
  <si>
    <t>Instructional content is defined in code 30.3501.</t>
  </si>
  <si>
    <t>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t>
  </si>
  <si>
    <t>Cultural Studies and Comparative Literature.</t>
  </si>
  <si>
    <t>Instructional content is defined in code 30.3601.</t>
  </si>
  <si>
    <t>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t>
  </si>
  <si>
    <t>16.0104 - Comparative Literature., 05.0200 - Ethnic Studies., 30.2601 - Cultural Studies/Critical Theory and Analysis.</t>
  </si>
  <si>
    <t>Design for Human Health.</t>
  </si>
  <si>
    <t>Instructional content is defined in code 30.3701.</t>
  </si>
  <si>
    <t>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t>
  </si>
  <si>
    <t>04.0402 - Healthcare Environment Design/Architecture.</t>
  </si>
  <si>
    <t>Earth Systems Science.</t>
  </si>
  <si>
    <t>Instructional content is defined in code 30.3801.</t>
  </si>
  <si>
    <t>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t>
  </si>
  <si>
    <t>Economics and Computer Science.</t>
  </si>
  <si>
    <t>Instructional content is defined in code 30.3901.</t>
  </si>
  <si>
    <t>A program of study that focuses on the theoretical and practical connections between computer science and economics. Includes instruction in data analysis, database design, data mining, computer algorithms, economics, econometrics, computer programing, mathematics, and statistics.</t>
  </si>
  <si>
    <t>Economics and Foreign Language/Literature.</t>
  </si>
  <si>
    <t>Instructional content is defined in code 30.4001.</t>
  </si>
  <si>
    <t>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t>
  </si>
  <si>
    <t>16.0101 - Foreign Languages and Literatures, General., 45.0605 - International Economics.</t>
  </si>
  <si>
    <t>Environmental Geosciences.</t>
  </si>
  <si>
    <t>Instructional content is defined in code 30.4101.</t>
  </si>
  <si>
    <t>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t>
  </si>
  <si>
    <t>Geoarcheaology.</t>
  </si>
  <si>
    <t>Instructional content is defined in code 30.4201.</t>
  </si>
  <si>
    <t>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t>
  </si>
  <si>
    <t>Geobiology.</t>
  </si>
  <si>
    <t>Instructional content is defined in code 30.4301.</t>
  </si>
  <si>
    <t>A program that focuses on the scientific study of how living things interact with geological systems. Includes instruction in evolution of Earth systems, geochemistry, geology, geomicrobiology, marine chemistry, paleobiology, paleoecology, paleontology, and petrology.</t>
  </si>
  <si>
    <t>Geography and Environmental Studies.</t>
  </si>
  <si>
    <t>Instructional content is defined in code 30.4401.</t>
  </si>
  <si>
    <t>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t>
  </si>
  <si>
    <t>45.0701 - Geography., 03.0103 - Environmental Studies.</t>
  </si>
  <si>
    <t>History and Language/Literature.</t>
  </si>
  <si>
    <t>Instructional content is defined in code 30.4501.</t>
  </si>
  <si>
    <t>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t>
  </si>
  <si>
    <t>54.0101 - History, General., 16.0101 - Foreign Languages and Literatures, General.</t>
  </si>
  <si>
    <t>History and Political Science.</t>
  </si>
  <si>
    <t>Instructional content is defined in code 30.4601.</t>
  </si>
  <si>
    <t>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t>
  </si>
  <si>
    <t>54.0101 - History, General., 45.1001 - Political Science and Government, General.</t>
  </si>
  <si>
    <t>Linguistics and Anthropology.</t>
  </si>
  <si>
    <t>Instructional content is defined in code 30.4701.</t>
  </si>
  <si>
    <t>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t>
  </si>
  <si>
    <t>16.0102 - Linguistics., 45.0201 - Anthropology, General.</t>
  </si>
  <si>
    <t>Linguistics and Computer Science.</t>
  </si>
  <si>
    <t>Instructional content is defined in code 30.4801.</t>
  </si>
  <si>
    <t>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t>
  </si>
  <si>
    <t>11.0101 - Computer and Information Sciences, General., 16.0102 - Linguistics.</t>
  </si>
  <si>
    <t>Mathematical Economics.</t>
  </si>
  <si>
    <t>Instructional content is defined in code 30.4901.</t>
  </si>
  <si>
    <t>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t>
  </si>
  <si>
    <t>45.0603 - Econometrics and Quantitative Economics.</t>
  </si>
  <si>
    <t>Examples: - Math Economics, - Mathematics and Economics, - Economics and Mathematics</t>
  </si>
  <si>
    <t>Mathematics and Atmospheric/Oceanic Science.</t>
  </si>
  <si>
    <t>Instructional content is defined in code 30.5001.</t>
  </si>
  <si>
    <t>A program that focuses on the application of mathematics to atmospheric and oceanic problems. Includes instruction in chemistry, physics, atmospheric/ocean dynamics, climatology, weather simulation, climate modeling, mathematics, oceanography, and atmospheric science.</t>
  </si>
  <si>
    <t>Philosophy, Politics, and Economics.</t>
  </si>
  <si>
    <t>Instructional content is defined in code 30.5101.</t>
  </si>
  <si>
    <t>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t>
  </si>
  <si>
    <t>38.0101 - Philosophy., 45.0601 - Economics, General., 45.1001 - Political Science and Government, General.</t>
  </si>
  <si>
    <t>Digital Humanities and Textual Studies.</t>
  </si>
  <si>
    <t>Instructional content for this group of programs is defined in codes 30.5201 - 30.5299.</t>
  </si>
  <si>
    <t>Digital Humanities and Textual Studies, General.</t>
  </si>
  <si>
    <t>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t>
  </si>
  <si>
    <t>Digital Humanities.</t>
  </si>
  <si>
    <t>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t>
  </si>
  <si>
    <t>Textual Studies.</t>
  </si>
  <si>
    <t>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t>
  </si>
  <si>
    <t>Digital Humanities and Textual Studies, Other.</t>
  </si>
  <si>
    <t>Any instructional program in digital humanities and textual studies not listed above.</t>
  </si>
  <si>
    <t>Thanatology.</t>
  </si>
  <si>
    <t>Instructional content is defined in code 30.5301.</t>
  </si>
  <si>
    <t>A program of study that focuses on the biological, philosophical, psychological, sociological, and theological aspects of death, dying, and bereavement. Includes instruction in counseling, ethics, grief, palliative and hospice care, philosophy, thanatology, and theology.</t>
  </si>
  <si>
    <t>Data Science.</t>
  </si>
  <si>
    <t>Instructional content for this group of programs is defined in codes 30.7001 - 30.7099.</t>
  </si>
  <si>
    <t>Data Science, General.</t>
  </si>
  <si>
    <t>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t>
  </si>
  <si>
    <t>Data Science, Other.</t>
  </si>
  <si>
    <t>Any instructional program in data science not listed above.</t>
  </si>
  <si>
    <t>Data Analytics.</t>
  </si>
  <si>
    <t>Instructional content for this group of programs is defined in codes 30.7101 - 30.7199.</t>
  </si>
  <si>
    <t>Data Analytics, General.</t>
  </si>
  <si>
    <t>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t>
  </si>
  <si>
    <t>Business Analytics.</t>
  </si>
  <si>
    <t>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t>
  </si>
  <si>
    <t>52.1302 - Business Statistics.</t>
  </si>
  <si>
    <t>Examples: - Business Forecasting and Trend Spotting</t>
  </si>
  <si>
    <t>Data Visualization.</t>
  </si>
  <si>
    <t>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t>
  </si>
  <si>
    <t>Examples: - Infographics and Data Visualization Design</t>
  </si>
  <si>
    <t>Financial Analytics.</t>
  </si>
  <si>
    <t>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t>
  </si>
  <si>
    <t>Data Analytics, Other.</t>
  </si>
  <si>
    <t>Any instructional program in data analytics not listed above.</t>
  </si>
  <si>
    <t>Examples: - Social Media Trend Spotting</t>
  </si>
  <si>
    <t>Multi/Interdisciplinary Studies, Other.</t>
  </si>
  <si>
    <t>Instructional content is defined in code 30.9999.</t>
  </si>
  <si>
    <t>Multi-/Interdisciplinary Studies, Other.</t>
  </si>
  <si>
    <t>Any instructional program in multi/interdisciplinary studies not listed above.</t>
  </si>
  <si>
    <t>PARKS, RECREATION, LEISURE, FITNESS, AND KINESIOLOGY.</t>
  </si>
  <si>
    <t>Instructional programs that focus on the principles and practices of managing parks and other recreational and fitness facilities; providing recreational, leisure and fitness services; and the study of human kinesiology and fitness.</t>
  </si>
  <si>
    <t>Parks, Recreation, and Leisure Studies.</t>
  </si>
  <si>
    <t>Instructional content is defined in code 31.0101.</t>
  </si>
  <si>
    <t>A program that focuses on the principles underlying recreational and leisure activities, and the practices involved in providing indoor and outdoor recreational facilities and services for the general public.</t>
  </si>
  <si>
    <t>Parks, Recreation, and Leisure Facilities Management.</t>
  </si>
  <si>
    <t>Instructional content for this group of programs is defined in codes 31.0301 - 31.0399.</t>
  </si>
  <si>
    <t>Parks, Recreation, and Leisure Facilities Management, General.</t>
  </si>
  <si>
    <t>A program that prepares individuals to develop and manage park facilities and other indoor and outdoor recreation and leisure facilities.  Includes instruction in supervising support personnel, health and safety standards, public relations, and basic business and marketing principles.</t>
  </si>
  <si>
    <t>03.0207 - Environmental/Natural Resource Recreation and Tourism., 03.0206 - Land Use Planning and Management/Development.</t>
  </si>
  <si>
    <t>Golf Course Operation and Grounds Management.</t>
  </si>
  <si>
    <t>A program that prepares individuals to manage the operation of golf courses. Includes instruction in turf grass science and management, golf course design and construction, grounds equipment and operation, pest control, and grounds management.</t>
  </si>
  <si>
    <t>Parks, Recreation, and Leisure Facilities Management, Other.</t>
  </si>
  <si>
    <t>Any instructional program in parks, recreation, and leisure facilities management not listed above.</t>
  </si>
  <si>
    <t>Sports, Kinesiology, and Physical Education/Fitness.</t>
  </si>
  <si>
    <t>Instructional content for this group of programs is defined in codes 31.0501 - 31.0599.</t>
  </si>
  <si>
    <t>Sports, Kinesiology, and Physical Education/Fitness, General.</t>
  </si>
  <si>
    <t>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t>
  </si>
  <si>
    <t>13.1314 - Physical Education Teaching and Coaching., 51.0001 - Health and Wellness, General.</t>
  </si>
  <si>
    <t>Examples: - Coaching</t>
  </si>
  <si>
    <t>Sport and Fitness Administration/Management.</t>
  </si>
  <si>
    <t>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t>
  </si>
  <si>
    <t>31.0508 - Sports Studies., 09.0906 - Sports Communication.</t>
  </si>
  <si>
    <t>Exercise Science and Kinesiology.</t>
  </si>
  <si>
    <t>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t>
  </si>
  <si>
    <t>26.0908 - Exercise Physiology and Kinesiology., 51.2311 - Kinesiotherapy/Kinesiotherapist., 51.0913 - Athletic Training/Trainer., 13.1314 - Physical Education Teaching and Coaching., 26.0913 - Biomechanics.</t>
  </si>
  <si>
    <t>Physical Fitness Technician.</t>
  </si>
  <si>
    <t>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t>
  </si>
  <si>
    <t>51.0913 - Athletic Training/Trainer.</t>
  </si>
  <si>
    <t>Examples: - Fitness Technician, - Fitness Trainer, - Personal Trainer</t>
  </si>
  <si>
    <t>Sports Studies.</t>
  </si>
  <si>
    <t>A program that focuses on the psychological, sociological, and historical aspects of sport and physical activity. Includes instruction in theory of sport, sport psychology, sport in American society, gender and race/ethnicity and sport, and sports history.</t>
  </si>
  <si>
    <t>31.0504 - Sport and Fitness Administration/Management., 09.0906 - Sports Communication., 42.2815 - Performance and Sport Psychology.</t>
  </si>
  <si>
    <t>Examples: - Psychosocial Aspects of Sport</t>
  </si>
  <si>
    <t>Sports, Kinesiology, and Physical Education/Fitness, Other.</t>
  </si>
  <si>
    <t>Any instructional program in sports, kinesiology, and physical education/fitness not listed above.</t>
  </si>
  <si>
    <t>Outdoor Education.</t>
  </si>
  <si>
    <t>Instructional content is defined in code 31.0601.</t>
  </si>
  <si>
    <t>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t>
  </si>
  <si>
    <t>13.1338 - Environmental Education.</t>
  </si>
  <si>
    <t>Parks, Recreation, Leisure, Fitness, and Kinesiology, Other.</t>
  </si>
  <si>
    <t>Instructional content is defined in code 31.9999.</t>
  </si>
  <si>
    <t>Any instructional program in parks, recreation, leisure, fitness, and kinesiology not listed above.</t>
  </si>
  <si>
    <t>BASIC SKILLS AND DEVELOPMENTAL/REMEDIAL EDUCATION.</t>
  </si>
  <si>
    <t>Instructional programs that focus on the fundamental knowledge and skills that individuals need to function productively in society. These CIP codes are not valid for IPEDS reporting.</t>
  </si>
  <si>
    <t>Basic Skills and Developmental/Remedial Education.</t>
  </si>
  <si>
    <t>Instructional content for this group of programs is defined in codes 32.0101 - 32.0199. These CIP codes are not valid for IPEDS reporting.</t>
  </si>
  <si>
    <t>Basic Skills and Developmental/Remedial Education, General.</t>
  </si>
  <si>
    <t>A general program that focuses on the fundamental knowledge and skills that individuals need to function productively in society. This CIP code is not valid for IPEDS reporting.</t>
  </si>
  <si>
    <t>Examples: - Adult Developmental Education, - Basic Skills, General, - Developmental Education, General, - Remedial Education, General</t>
  </si>
  <si>
    <t>Developmental/Remedial Mathematics.</t>
  </si>
  <si>
    <t>A program that focuses on the development of computing and other mathematical reasoning abilities and skills. This CIP code is not valid for IPEDS reporting.</t>
  </si>
  <si>
    <t>Examples: - Numeracy and Computational Skills, - Adult Developmental Mathematics</t>
  </si>
  <si>
    <t>Job-Seeking/Changing Skills.</t>
  </si>
  <si>
    <t>A program that focuses on the development of skills related to job searches and self-marketing.  Includes instruction in assessing one's own capabilities and skills; filling out an application; and handling an interview. This CIP code is not valid for IPEDS reporting.</t>
  </si>
  <si>
    <t>Career Exploration/Awareness Skills.</t>
  </si>
  <si>
    <t>A program that focuses on the linkage between individual capabilities and needs and the job market.  Includes instruction in the variety and scope of available employment, how to access job information, and techniques of self-analysis. This CIP code is not valid for IPEDS reporting.</t>
  </si>
  <si>
    <t>Developmental/Remedial English.</t>
  </si>
  <si>
    <t>A program that focuses on the fundamental knowledge and skills in reading, writing and speaking that individuals need to function productively in society. This CIP code is not valid for IPEDS reporting.</t>
  </si>
  <si>
    <t>Examples: - Developmental/Remedial Reading and Writing, - Developmental/Remedial Literacy Skills, - Literacy and Communication Skills</t>
  </si>
  <si>
    <t>A program that focuses on the development of proficiency in reading, writing, and speaking a language or languages, other than the mother tongue, that are needed to perform day-to-day tasks.  Includes instruction in the use of basic communication skills to develop and transmit ideas and thoughts. This CIP code is not valid for IPEDS reporting.</t>
  </si>
  <si>
    <t>Examples: - English as a Second Language</t>
  </si>
  <si>
    <t>Basic Computer Skills.</t>
  </si>
  <si>
    <t>A program that focuses on the knowledge and skills needed to operate a computer, including computer concepts, keyboarding and mouse skills, using computer hardware and software, and basic troubleshooting. This CIP code is not valid for IPEDS reporting.</t>
  </si>
  <si>
    <t>Examples: - Basic Computer Application</t>
  </si>
  <si>
    <t>Workforce Development and Training.</t>
  </si>
  <si>
    <t>A program that focuses on learning or upgrading basic skills in order to enhance job performance, promote career development, or train for a new job. This CIP code is not valid for IPEDS reporting.</t>
  </si>
  <si>
    <t>Accent Reduction/Modification.</t>
  </si>
  <si>
    <t>A program that focuses on accent modification and effective pronunciation in order to assist individuals in changing their accents/dialects to Standard American English. Includes instruction in changing speech patterns, intonation, phonology, pronunciation, rhythm, semantics, syntax, vocabulary, voice production, and word order. This CIP code is not valid for IPEDS reporting.</t>
  </si>
  <si>
    <t>Basic Skills and Developmental/Remedial Education, Other.</t>
  </si>
  <si>
    <t>Any instructional program in basic skills not listed above. This CIP code is not valid for IPEDS reporting.</t>
  </si>
  <si>
    <t>General Exam Preparation and Test-Taking Skills.</t>
  </si>
  <si>
    <t>Instructional content for this group of programs is defined in codes 32.0201 - 32.0299. These CIP codes are not valid for IPEDS reporting.</t>
  </si>
  <si>
    <t>Exam Preparation and Test-Taking Skills, General.</t>
  </si>
  <si>
    <t>A program of study that focuses on general study and exam-taking skills. This CIP code is not valid for IPEDS reporting.</t>
  </si>
  <si>
    <t>High School Equivalent Exam Preparation.</t>
  </si>
  <si>
    <t>A program of study that focuses on general study and exam-taking skills associated with preparation for the high school equivalency examinations. This CIP code is not valid for IPEDS reporting.</t>
  </si>
  <si>
    <t>53.0201 - High School Equivalence Certificate Program.</t>
  </si>
  <si>
    <t>Examples: - General Educational Development (GED) Exam, - High School Equivalency Certificate Exam, - Certificate of School Completion Exam</t>
  </si>
  <si>
    <t>Undergraduate Entrance/Placement Examination Preparation.</t>
  </si>
  <si>
    <t>A program of study that focuses on general study and exam-taking skills associated with preparation for undergraduate college/university entrance or placement examinations. This CIP code is not valid for IPEDS reporting.</t>
  </si>
  <si>
    <t>Examples: - Scholastic Assessment Test (SAT), - SAT Subject Tests, - The ACT Test, - Texas Higher Education Assessment, - Postsecondary Education Readiness Test (PERT)</t>
  </si>
  <si>
    <t>Graduate/Professional School Entrance Examination Preparation.</t>
  </si>
  <si>
    <t>A program of study that focuses on general study and exam-taking skills associated with preparation for graduate and professional school entrance examinations. This CIP code is not valid for IPEDS reporting.</t>
  </si>
  <si>
    <t>Examples: - Graduate Management Admission Test (GMAT), - Law School Admissions Test (LSAT), - Optometry Admission Test (OAT), - HESI Admission Assessment Exam, - Dental Admission Test (DAT), - Pharmacy College Admission Test (PCAT), - Medical College Admissions Test (MCAT), - Graduate Record Examination (GRE) General Test, - Veterinary College Admission Test (VCAT), - Miller Analogies Test (MAT)</t>
  </si>
  <si>
    <t>Professional Certification/Licensure Examination Preparation.</t>
  </si>
  <si>
    <t>A program of study that focuses on general study and exam-taking skills associated with preparation for professional certification and licensure examinations. This CIP code is not valid for IPEDS reporting.</t>
  </si>
  <si>
    <t>Examples: - National Council Licensure Examination (NCLEX), - Praxis Test, - Comprehensive Osteopathic Medical Licensing Examination (COMLEX), - United States Medical Licensing Examination (USMLE), - Physician Assistant National Certifying Exam (PANCE), - Professional Surveyor (P.S.) Exam, - National Registry of Emergency Medical Technicians (NREMT) Exam, - Certified Information Systems Auditor (CISA) Examination, - Certified Public Accountant (CPA) Examination, - Chartered Financial Analyst (CFA) Examination, - Professional Engineer (P.E.) Examination, - Project Management Professional (PMP) Examination, - North American Pharmacist Licensure Examination (NAPLEX)</t>
  </si>
  <si>
    <t>General Exam Preparation and Test-Taking Skills, Other.</t>
  </si>
  <si>
    <t>Any instructional program in general exam preparation and test-taking skills not listed above.</t>
  </si>
  <si>
    <t>CITIZENSHIP ACTIVITIES.</t>
  </si>
  <si>
    <t>Instructional programs that prepare individuals for citizenship, and provide instruction in how citizens may engage in civic activities. These CIP codes are not valid for IPEDS reporting.</t>
  </si>
  <si>
    <t>Citizenship Activities.</t>
  </si>
  <si>
    <t>Instructional content for this group of programs is defined in codes 33.0101 - 33.0199. These CIP codes are not valid for IPEDS reporting.</t>
  </si>
  <si>
    <t>Citizenship Activities, General.</t>
  </si>
  <si>
    <t>A program that generally prepares individuals for citizenship, and focuses on how citizens may engage in civic activities. This CIP code is not valid for IPEDS reporting.</t>
  </si>
  <si>
    <t>American Citizenship Education.</t>
  </si>
  <si>
    <t>A program that prepares individuals to take the oath of United States citizenship and to exercise the attendant rights and responsibilities of citizenship. This CIP code is not valid for IPEDS reporting.</t>
  </si>
  <si>
    <t>Community Awareness.</t>
  </si>
  <si>
    <t>A program that focuses on local government and history, current issues, and focuses on how individuals can keep abreast of important issues that may affect them. This CIP code is not valid for IPEDS reporting.</t>
  </si>
  <si>
    <t>Community Involvement.</t>
  </si>
  <si>
    <t>A program that focuses on how individuals may become actively involved in the social, economic and political issues and events affecting them; and the roles and methods that are available to influence community life and public policy. This CIP code is not valid for IPEDS reporting.</t>
  </si>
  <si>
    <t>Canadian Citizenship Education.</t>
  </si>
  <si>
    <t>A program that prepares individuals to take the oath of Canadian citizenship and to exercise the attendant rights and responsibilities of citizenship. This CIP code is not valid for IPEDS reporting.</t>
  </si>
  <si>
    <t>Personal Emergency Preparedness.</t>
  </si>
  <si>
    <t>A program of study that focuses on the leadership and management skills needed to prepare and respond to critical threats such as natural disasters, hazardous spills, and security threats. Includes instruction in communication, community preparedness, decision-making, disaster management, disaster recovery, disaster preparation, emergency planning and preparation, resource planning, and risk and hazard impact. This CIP code is not valid for IPEDS reporting.</t>
  </si>
  <si>
    <t>Citizenship Activities, Other.</t>
  </si>
  <si>
    <t>Any instructional program in citizenship activities not listed above. This CIP code is not valid for IPEDS reporting.</t>
  </si>
  <si>
    <t>HEALTH-RELATED KNOWLEDGE AND SKILLS.</t>
  </si>
  <si>
    <t>Instructional programs that focus on the promotion of personal and family health. These CIP codes are not valid for IPEDS reporting.</t>
  </si>
  <si>
    <t>Health-Related Knowledge and Skills.</t>
  </si>
  <si>
    <t>Instructional content for this group of programs is defined in codes 34.0102 - 34.0199. These CIP codes are not valid for IPEDS reporting.</t>
  </si>
  <si>
    <t>Birthing and Parenting Knowledge and Skills.</t>
  </si>
  <si>
    <t>A program that focuses on all facets of the mother's and father's roles in family planning, prenatal preparation and care, the birthing experience, post-natal care and the raising of children. This CIP code is not valid for IPEDS reporting.</t>
  </si>
  <si>
    <t>Personal Health Improvement and Maintenance.</t>
  </si>
  <si>
    <t>A program that focuses on the principles, techniques, and methods by which individuals can maintain or improve their overall physical and emotional well-being, as well as work on specific areas of personal health. This CIP code is not valid for IPEDS reporting.</t>
  </si>
  <si>
    <t>Addiction Prevention and Treatment.</t>
  </si>
  <si>
    <t>A program that focuses on how individuals can avoid addictive substances and behaviors; the methods by which individuals can be treated for various addictions and related behavior problems; and the knowledge and coping skills needed by relatives and associates of addicted individuals. This CIP code is not valid for IPEDS reporting.</t>
  </si>
  <si>
    <t>Meditation/Mind-Body Wellness.</t>
  </si>
  <si>
    <t>A program that focuses on meditation and mindfulness training, and how these techniques can enhance brain function, regulate emotions, reduce stress, and increase compassion. Includes instruction in alternative medicine, innovative and ancient healing practices, inspired creativity and the arts, meditation, mindfulness, neuroscience, religious belief systems, spiritual psychology, therapeutic movement, and visualization meditation. This CIP code is not valid for IPEDS reporting.</t>
  </si>
  <si>
    <t>Health-Related Knowledge and Skills, Other.</t>
  </si>
  <si>
    <t>Any instructional program in health-related knowledge and skills not listed above. This CIP code is not valid for IPEDS reporting.</t>
  </si>
  <si>
    <t>Examples: - First Aid, - CPR</t>
  </si>
  <si>
    <t>INTERPERSONAL AND SOCIAL SKILLS.</t>
  </si>
  <si>
    <t>Programs that focus on the development of methods and skills for effective interactions with others in a variety of settings (private, social, and business settings). These CIP codes are not valid for IPEDS reporting.</t>
  </si>
  <si>
    <t>Interpersonal and Social Skills.</t>
  </si>
  <si>
    <t>Instructional content for this group of programs is defined in codes 35.0101 - 35.0199. These CIP codes are not valid for IPEDS reporting.</t>
  </si>
  <si>
    <t>Interpersonal and Social Skills, General.</t>
  </si>
  <si>
    <t>A general program that focuses on how to effectively interact with others in private, social and business settings. This CIP code is not valid for IPEDS reporting.</t>
  </si>
  <si>
    <t>Interpersonal Relationships Skills.</t>
  </si>
  <si>
    <t>A program that focuses on how to increase one's ability to establish and maintain mutually satisfactory ties with other human beings. This CIP code is not valid for IPEDS reporting.</t>
  </si>
  <si>
    <t>Business and Social Skills.</t>
  </si>
  <si>
    <t>A program that focuses on how to increase one's ability to function effectively in social and business settings where interpersonal communication is required. This CIP code is not valid for IPEDS reporting.</t>
  </si>
  <si>
    <t>Life Coaching.</t>
  </si>
  <si>
    <t>A program that focuses on assisting individuals in achieving personal goals such as life transitions, relationships, physical well-being, emotional well-being, and career choices. Includes instruction in career and vocational development, coaching methodologies, coaching research techniques, group coaching, leadership techniques, and personal coaching. This CIP code is not valid for IPEDS reporting.</t>
  </si>
  <si>
    <t>Interpersonal Social Skills, Other.</t>
  </si>
  <si>
    <t>Any instructional program in interpersonal social skills not listed above. This CIP code is not valid for IPEDS reporting.</t>
  </si>
  <si>
    <t>LEISURE AND RECREATIONAL ACTIVITIES.</t>
  </si>
  <si>
    <t>Programs that focus on the development of an appreciation for and competency in recreational and leisure-related activities. These CIP codes are not valid for IPEDS reporting.</t>
  </si>
  <si>
    <t>Leisure and Recreational Activities.</t>
  </si>
  <si>
    <t>Instructional content for this group of programs is defined in codes 36.0101 - 36.0199. These CIP codes are not valid for IPEDS reporting.</t>
  </si>
  <si>
    <t>Leisure and Recreational Activities, General.</t>
  </si>
  <si>
    <t>A general program that focuses on the development of an appreciation for and competency in recreational and leisure-related activities. This CIP code is not valid for IPEDS reporting.</t>
  </si>
  <si>
    <t>Handicrafts and Model-Making.</t>
  </si>
  <si>
    <t>A program that focuses on the fashioning of objects of decoration, utility or representation from various materials, including related matters of research, tool use and appreciation. This CIP code is not valid for IPEDS reporting.</t>
  </si>
  <si>
    <t>Board, Card and Role-Playing Games.</t>
  </si>
  <si>
    <t>A  program that focuses on the rules and techniques of participation and skill-building in competitive activities of skill or chance, such as board games, card games or role-playing activities. This CIP code is not valid for IPEDS reporting.</t>
  </si>
  <si>
    <t>Home Maintenance and Improvement.</t>
  </si>
  <si>
    <t>A program that focuses on the knowledge and skills associated with maintaining living space and related equipment and furnishings, as well as do-it-yourself repairs and improvement projects of varying complexity. This CIP code is not valid for IPEDS reporting.</t>
  </si>
  <si>
    <t>Nature Appreciation.</t>
  </si>
  <si>
    <t>A program that focuses on how to increase one's understanding and knowledge of the natural environment in which we live, as well as techniques of wildlife observation and management. This CIP code is not valid for IPEDS reporting.</t>
  </si>
  <si>
    <t>Pet Ownership and Care.</t>
  </si>
  <si>
    <t>A program that focuses on how to increase one's ability to care for domesticated animals kept for pleasure or work. This CIP code is not valid for IPEDS reporting.</t>
  </si>
  <si>
    <t>Sports and Exercise.</t>
  </si>
  <si>
    <t>A program that focuses on the rules and techniques of participation and skill building in competitive physical activities, as well as non-competitive physical fitness programs. This CIP code is not valid for IPEDS reporting.</t>
  </si>
  <si>
    <t>Travel and Exploration.</t>
  </si>
  <si>
    <t>A program that focuses on particular geographic areas or phenomena, and provides opportunities for organized trips or tours, including related knowledge and skills. This CIP code is not valid for IPEDS reporting.</t>
  </si>
  <si>
    <t>Art.</t>
  </si>
  <si>
    <t>A program that focuses on the techniques and methods of creative self-expression in visual or plastic media, such as painting or sculpture. This CIP code is not valid for IPEDS reporting.</t>
  </si>
  <si>
    <t>Collecting.</t>
  </si>
  <si>
    <t>A program that focuses on the knowledge and techniques necessary for acquiring and maintaining personal collections of objects, such as autographs, stamps, models, specimens, vehicles and antiques. This CIP code is not valid for IPEDS reporting.</t>
  </si>
  <si>
    <t>Cooking and Other Domestic Skills.</t>
  </si>
  <si>
    <t>A program that focuses on the knowledge and skills related to food buying and preparation, home decoration, sewing and other domestic activities, either as hobbies or as routine tasks. This CIP code is not valid for IPEDS reporting.</t>
  </si>
  <si>
    <t>Computer Games and Programming Skills.</t>
  </si>
  <si>
    <t>A program that focuses on the knowledge and skills associated with creating and maintaining computer programs, as well as playing computer-based games. This CIP code is not valid for IPEDS reporting.</t>
  </si>
  <si>
    <t>Dancing.</t>
  </si>
  <si>
    <t>A program that focuses on the knowledge and skills related to recreational dance, such as square dancing, ballroom dancing, classical or modern dance. This CIP code is not valid for IPEDS reporting.</t>
  </si>
  <si>
    <t>Music.</t>
  </si>
  <si>
    <t>A program that focuses on the knowledge and skills associated with personal music appreciation, the playing of a musical instrument, singing or recreational composition. This CIP code is not valid for IPEDS reporting.</t>
  </si>
  <si>
    <t>Reading.</t>
  </si>
  <si>
    <t>A program that focuses on the activity of reading for pleasure, either alone or as part of a group experience. This CIP code is not valid for IPEDS reporting.</t>
  </si>
  <si>
    <t>Theatre/Theater.</t>
  </si>
  <si>
    <t>A program that focuses on the knowledge and skills associated with participation in amateur theatrical productions, drama appreciation, and writing amateur plays. This CIP code is not valid for IPEDS reporting.</t>
  </si>
  <si>
    <t>Writing.</t>
  </si>
  <si>
    <t>A program that focuses on the knowledge and skills related to creative writing and poetry composition for pleasure or profit, including methods of publication. This CIP code is not valid for IPEDS reporting.</t>
  </si>
  <si>
    <t>Aircraft Pilot (Private).</t>
  </si>
  <si>
    <t>Moved from 36.0119 to 36.0202</t>
  </si>
  <si>
    <t>Beekeeping.</t>
  </si>
  <si>
    <t>A program that focuses on keeping bees for personal enjoyment, pollination of plants and vegetables, and domestic honey and other bee product production. Includes instruction in bee behavior, hive equipment, beekeeping supplies, bee pests and parasites, handling bees, hive set up and care, honey production, and seasonal management practices. This CIP code is not valid for IPEDS reporting.</t>
  </si>
  <si>
    <t>01.0310 - Apiculture.</t>
  </si>
  <si>
    <t>Firearms Training/Safety.</t>
  </si>
  <si>
    <t>A program that focuses on the fundamentals of gun operation, shooting techniques, and firearm safety. Includes instruction in ammunition, firearm cleaning, firearms law, firearm operation, and shooting techniques. This CIP code is not valid for IPEDS reporting.</t>
  </si>
  <si>
    <t>Floral Design/Arrangement.</t>
  </si>
  <si>
    <t>A program that focuses on the techniques of floral design based on color palette, theme, season, and flower selection. Includes instruction in botanical terminology, flower handling and identification, foliage and plants, traditional and contemporary floral design, and use of seasonal, dry, silk, or exotic plant materials. This CIP code is not valid for IPEDS reporting.</t>
  </si>
  <si>
    <t>Master Gardener/Gardening.</t>
  </si>
  <si>
    <t>A program that prepares individuals to educate the public on science-based, environmentally-sound practices in sustainable gardening and horticulture. Includes instruction in vegetables, houseplants, composting, flowers, fruits, turf grass, woody plants, plant propagation, pollination, soils, wildlife management, integrated pest management, plant pathology, and entomology. This CIP code is not valid for IPEDS reporting.</t>
  </si>
  <si>
    <t>01.0801 - Agricultural and Extension Education Services., 01.0609 - Public Horticulture.</t>
  </si>
  <si>
    <t>Leisure and Recreational Activities, Other.</t>
  </si>
  <si>
    <t>Any instructional program in leisure and recreational activities not listed above. This CIP code is not valid for IPEDS reporting.</t>
  </si>
  <si>
    <t>Noncommercial Vehicle Operation.</t>
  </si>
  <si>
    <t>Instructional content for this group of programs is defined in codes 36.0202 - 36.0299. These CIP codes are not valid for IPEDS reporting.</t>
  </si>
  <si>
    <t>A program that prepares individuals to fly aircraft for personal use, and qualifies individuals to sit for the FAA pilot's license examination.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This CIP code is not valid for IPEDS reporting.</t>
  </si>
  <si>
    <t>Automobile Driver Education.</t>
  </si>
  <si>
    <t>A program that prepares individuals to drive automobiles for personal use and qualifies them to sit for a driver's license examination. Includes instruction in automobile operation, driving skills, safety, and traffic rules. This CIP code is not valid for IPEDS reporting.</t>
  </si>
  <si>
    <t>Helicopter Pilot (Private).</t>
  </si>
  <si>
    <t>A program that prepares individuals to fly helicopters for personal use, and qualifies individuals to sit for the FAA Private Pilot - Helicopter (PRH) examination. Includes instruction in principles of helicopter design and performance; helicopter flight systems and controls; flight crew operations and procedures; radio communications and navigation procedures and systems; airways safety and traffic regulations; and governmental rules and regulations pertaining to piloting helicopters. This CIP code is not valid for IPEDS reporting.</t>
  </si>
  <si>
    <t>Motorcycle Rider Education.</t>
  </si>
  <si>
    <t>A program that prepares individuals to ride motorcycles for personal use and qualifies them to sit for a motorcycle license examination. Includes instruction in motorcycle operation, riding skills, safety, and traffic rules. This CIP code is not valid for IPEDS reporting.</t>
  </si>
  <si>
    <t>Personal Watercraft/Boating Education.</t>
  </si>
  <si>
    <t>A program that prepares individuals to operate boats and other watercraft for personal use and qualifies them to sit for a boating license examination. Includes instruction in boat and watercraft operation, safety, and applicable laws and rules. This CIP code is not valid for IPEDS reporting.</t>
  </si>
  <si>
    <t>Examples: - Boating Safety Education, - Boater Education Certificate</t>
  </si>
  <si>
    <t>Remote Aircraft Pilot (Personal).</t>
  </si>
  <si>
    <t>A program that prepares individuals to fly an unmanned aircraft system (UAS) for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 This CIP code is not valid for IPEDS reporting.</t>
  </si>
  <si>
    <t>49.0109 - Remote Aircraft Pilot.</t>
  </si>
  <si>
    <t>Noncommercial Vehicle Operation, Other.</t>
  </si>
  <si>
    <t>Any instructional program in noncommercial vehicle operation not listed above.</t>
  </si>
  <si>
    <t>PERSONAL AWARENESS AND SELF-IMPROVEMENT.</t>
  </si>
  <si>
    <t>Programs that focus on the development of improved self-awareness, avoidance of stressful behavior, and improved decision-making skills. These CIP codes are not valid for IPEDS reporting.</t>
  </si>
  <si>
    <t>Personal Awareness and Self-Improvement.</t>
  </si>
  <si>
    <t>Instructional content for this group of programs is defined in codes 37.0101 - 37.0199. These CIP codes are not valid for IPEDS reporting.</t>
  </si>
  <si>
    <t>Self-Awareness and Personal Assessment.</t>
  </si>
  <si>
    <t>A program that focuses on the knowledge and skills useful in becoming aware of one's feelings, using methods of assessing one's personal attributes, and being aware of how one is perceived by others. This CIP code is not valid for IPEDS reporting.</t>
  </si>
  <si>
    <t>Stress Management and Coping Skills.</t>
  </si>
  <si>
    <t>A program that focuses on the knowledge and skills useful in avoiding stressful situations and managing them when they occur, including dealing with complex and long-term stressful relationships. This CIP code is not valid for IPEDS reporting.</t>
  </si>
  <si>
    <t>Personal Decision-Making Skills.</t>
  </si>
  <si>
    <t>A program that focuses on how to develop individuals' abilities to assess decisions affecting their lives and to make life choices consistent with needs and beliefs. This CIP code is not valid for IPEDS reporting.</t>
  </si>
  <si>
    <t>Self-Esteem and Values Clarification.</t>
  </si>
  <si>
    <t>A program that focuses on the development of personal philosophies and ideas of positive self-concept and self-worth, and applying these knowledge and skills in everyday circumstances. This CIP code is not valid for IPEDS reporting.</t>
  </si>
  <si>
    <t>Investing/Wealth Management/Retirement Planning.</t>
  </si>
  <si>
    <t>A program that prepares individuals to evaluate their personal financial health, establish financial planning strategies, and solve financial problems, based on their short term and long term financial goals. Includes instruction in asset management, estate planning, college savings, investment theory, insurance, real estate, retirement planning, and taxation. This CIP code is not valid for IPEDS reporting.</t>
  </si>
  <si>
    <t>Self-Defense.</t>
  </si>
  <si>
    <t>A program that focuses on defensive concepts and techniques against various types of assault. Includes instruction in basic principles of defense, continuum of survival, date rape, defensive mindset, weapons and strategies, offensive and defensive postures, recognizing vulnerable locations, risk reduction strategies, and using personal weapons. This CIP code is not valid for IPEDS reporting.</t>
  </si>
  <si>
    <t>Personal Awareness and Self-Improvement, Other.</t>
  </si>
  <si>
    <t>Any instructional program in personnel awareness and self-improvement not listed above. This CIP code is not valid for IPEDS reporting.</t>
  </si>
  <si>
    <t>PHILOSOPHY AND RELIGIOUS STUDIES.</t>
  </si>
  <si>
    <t>Instructional programs that focus on logical inquiry, philosophical analysis, and the academic study of organized systems of belief and religious practices.</t>
  </si>
  <si>
    <t>Philosophy and Religious Studies, General.</t>
  </si>
  <si>
    <t>Instructional content is defined in code 38.0001.</t>
  </si>
  <si>
    <t>A general program that combines the study of philosophy and religious studies. Includes instruction in logic; ethics; epistemology; symbolism; phenomenology; the sociology, psychology, philosophy, anthropology, literature, and art of religion; and world religions.</t>
  </si>
  <si>
    <t>38.0101 - Philosophy., 38.0201 - Religion/Religious Studies.</t>
  </si>
  <si>
    <t>Philosophy.</t>
  </si>
  <si>
    <t>Instructional content for this group of programs is defined in codes 38.0101 - 38.0199.</t>
  </si>
  <si>
    <t>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t>
  </si>
  <si>
    <t>Logic.</t>
  </si>
  <si>
    <t>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t>
  </si>
  <si>
    <t>Ethics.</t>
  </si>
  <si>
    <t>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t>
  </si>
  <si>
    <t>Applied and Professional Ethics.</t>
  </si>
  <si>
    <t>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t>
  </si>
  <si>
    <t>51.3201 - Bioethics/Medical Ethics.</t>
  </si>
  <si>
    <t>Examples: - Applied Ethics, - Professional Ethics, - Engineering Ethics</t>
  </si>
  <si>
    <t>Philosophy, Other.</t>
  </si>
  <si>
    <t>Any instructional program in Philosophy not listed above.</t>
  </si>
  <si>
    <t>30.5101 - Philosophy, Politics, and Economics.</t>
  </si>
  <si>
    <t>Religion/Religious Studies.</t>
  </si>
  <si>
    <t>Instructional content for this group of programs is defined in codes 38.0201 - 38.0299.</t>
  </si>
  <si>
    <t>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t>
  </si>
  <si>
    <t>Buddhist Studies.</t>
  </si>
  <si>
    <t>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(Tripitaka, etc.) and study of one or more of the main branches including Early Buddhism, Hinayana, Theravada, Madhyamaka, Yogacara, Pure Land, Shingon, Tendai, Nichiren Shu, Zen, Tibetan, Chinese, Korean, Vietnamese, and others.</t>
  </si>
  <si>
    <t>Christian Studies.</t>
  </si>
  <si>
    <t>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t>
  </si>
  <si>
    <t>39.0201 - Bible/Biblical Studies.</t>
  </si>
  <si>
    <t>Hindu Studies.</t>
  </si>
  <si>
    <t>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t>
  </si>
  <si>
    <t>Islamic Studies.</t>
  </si>
  <si>
    <t>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t>
  </si>
  <si>
    <t>Jewish/Judaic Studies.</t>
  </si>
  <si>
    <t>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t>
  </si>
  <si>
    <t>30.2101 - Holocaust and Related Studies., 39.0605 - Rabbinical Studies., 38.0207 - Talmudic Studies., 39.0201 - Bible/Biblical Studies.</t>
  </si>
  <si>
    <t>Talmudic Studies.</t>
  </si>
  <si>
    <t>A program focused on intense study of the Talmud that fosters values, critical thinking, and scholarship skills; prepares students for entry into a broad spectrum of graduate and professional schools; and prepares students for entry into a variety of careers including the Rabbinate. Includes instruction in Jewish law, Jewish jurisprudence, ethics, philosophy, and related disciplines.</t>
  </si>
  <si>
    <t>Catholic Studies.</t>
  </si>
  <si>
    <t>A program that focuses on Catholic thought, culture, and how Catholic tradition informs theology, culture, institutions, and identity. Includes instruction in Biblical Greek, Biblical Hebrew, Catholic bioethics, Catholic social thought, church history, Latin, philosophy, and theology.</t>
  </si>
  <si>
    <t>Mormon Studies.</t>
  </si>
  <si>
    <t>A program that focuses on beliefs, practices, culture, and history of the Church of Jesus Christ of Latter-day Saints (Mormon). Includes instruction in Mormon culture, history, literature, philosophy, sociology, and theology.</t>
  </si>
  <si>
    <t>Religion/Religious Studies, Other.</t>
  </si>
  <si>
    <t>Any instructional program in religion/religious studies not listed above.</t>
  </si>
  <si>
    <t>Philosophy and Religious Studies, Other.</t>
  </si>
  <si>
    <t>Instructional content is defined in code 38.9999.</t>
  </si>
  <si>
    <t>Any instructional program in philosophy and religion not listed above.</t>
  </si>
  <si>
    <t>THEOLOGY AND RELIGIOUS VOCATIONS.</t>
  </si>
  <si>
    <t>Instructional programs that focus on the intramural study of theology and that prepare individuals for the professional practice of religious vocations.</t>
  </si>
  <si>
    <t>Bible/Biblical Studies.</t>
  </si>
  <si>
    <t>Instructional content is defined in code 39.0201.</t>
  </si>
  <si>
    <t>A program that focuses on the Christian and/or Jewish Bible and related literature, with an emphasis on understanding and interpreting the theological, doctrinal, and ethical messages contained therein.  May include preparation for applying these studies in various religious vocations.</t>
  </si>
  <si>
    <t>38.0203 - Christian Studies., 38.0206 - Jewish/Judaic Studies.</t>
  </si>
  <si>
    <t>Missions/Missionary Studies and Missiology.</t>
  </si>
  <si>
    <t>Instructional content for this group of programs is defined in codes 39.0301 - 39.0399.</t>
  </si>
  <si>
    <t>Missions/Missionary Studies.</t>
  </si>
  <si>
    <t>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t>
  </si>
  <si>
    <t>Church Planting.</t>
  </si>
  <si>
    <t>A program of study that prepares individuals to establish congregations of Christians in new locations. Includes instruction in models of church planting, church multiplication strategies, church leadership, evangelism, missiology, Christian ethics, and mission-oriented theology.</t>
  </si>
  <si>
    <t>Missions/Missionary Studies and Missiology, Other.</t>
  </si>
  <si>
    <t>Any instructional program in missions, missionary studies, and missiology not listed above.</t>
  </si>
  <si>
    <t>Religious Education.</t>
  </si>
  <si>
    <t>Instructional content is defined in code 39.0401.</t>
  </si>
  <si>
    <t>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t>
  </si>
  <si>
    <t>Religious Music and Worship.</t>
  </si>
  <si>
    <t>Instructional content for this group of programs is defined in codes 39.0501 - 39.0599.</t>
  </si>
  <si>
    <t>Religious/Sacred Music.</t>
  </si>
  <si>
    <t>A program that focuses on the history, theory, composition, and performance of music for religious or sacred purposes, and that prepares individuals for religious musical vocations such as choir directors, cantors, organists, and chanters.</t>
  </si>
  <si>
    <t>Worship Ministry.</t>
  </si>
  <si>
    <t>A program of study that focuses on the use of musical and theatrical arts in Christian worship. Includes instruction in digital media, electronic hardware design and installation, music, theater, and worship theology.</t>
  </si>
  <si>
    <t>Religious Music and Worship, Other.</t>
  </si>
  <si>
    <t>Any instructional program in religious music and worship not listed above.</t>
  </si>
  <si>
    <t>Theological and Ministerial Studies.</t>
  </si>
  <si>
    <t>Instructional content for this group of programs is defined in codes 39.0601 - 39.0699.</t>
  </si>
  <si>
    <t>Theology/Theological Studies.</t>
  </si>
  <si>
    <t>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t>
  </si>
  <si>
    <t>Divinity/Ministry.</t>
  </si>
  <si>
    <t>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t>
  </si>
  <si>
    <t>Examples: - Divinity/Ministry (BD), - Divinity/Ministry (MDiv)</t>
  </si>
  <si>
    <t>Pre-Theology/Pre-Ministerial Studies.</t>
  </si>
  <si>
    <t>A program that prepares individuals to enter a seminary or other program leading to religious ordination, or a related religious vocation.</t>
  </si>
  <si>
    <t>Rabbinical Studies.</t>
  </si>
  <si>
    <t>A program that prepares individuals for ordination as Rabbis. Includes instruction in Talmud, Halacha, Liturgy and Rituals, Rabbinical Thought, Jewish Ethics, Jewish Education, Pastoral Counseling and Homiletics.</t>
  </si>
  <si>
    <t>38.0207 - Talmudic Studies., 38.0206 - Jewish/Judaic Studies.</t>
  </si>
  <si>
    <t>Examples: - Rabbinical Studies (M.H.L./Rav)</t>
  </si>
  <si>
    <t>Moved from 39.0606 to 38.0207</t>
  </si>
  <si>
    <t>Theological and Ministerial Studies, Other.</t>
  </si>
  <si>
    <t>Any instructional program in theological and ministerial studies not listed above, including preparation for religious vocations in faiths other than Christianity and Judaism.</t>
  </si>
  <si>
    <t>Pastoral Counseling and Specialized Ministries.</t>
  </si>
  <si>
    <t>Instructional content for this group of programs is defined in codes 39.0701 - 39.0799.</t>
  </si>
  <si>
    <t>Pastoral Studies/Counseling.</t>
  </si>
  <si>
    <t>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t>
  </si>
  <si>
    <t>51.1506 - Clinical Pastoral Counseling/Patient Counseling.</t>
  </si>
  <si>
    <t>Examples: - Christian Counseling</t>
  </si>
  <si>
    <t>Youth Ministry.</t>
  </si>
  <si>
    <t>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t>
  </si>
  <si>
    <t>Examples: - Youth and Family Ministries</t>
  </si>
  <si>
    <t>Urban Ministry.</t>
  </si>
  <si>
    <t>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t>
  </si>
  <si>
    <t>Women's Ministry.</t>
  </si>
  <si>
    <t>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t>
  </si>
  <si>
    <t>Lay Ministry.</t>
  </si>
  <si>
    <t>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t>
  </si>
  <si>
    <t>Chaplain/Chaplaincy Studies.</t>
  </si>
  <si>
    <t>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t>
  </si>
  <si>
    <t>Pastoral Counseling and Specialized Ministries, Other.</t>
  </si>
  <si>
    <t>Any instructional program in pastoral counseling and specialized ministries not listed above.</t>
  </si>
  <si>
    <t>Religious Institution Administration and Law.</t>
  </si>
  <si>
    <t>Instructional content for this group of programs is defined in codes 39.0801 - 39.0899.</t>
  </si>
  <si>
    <t>Religious Institution Administration and Management.</t>
  </si>
  <si>
    <t>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t>
  </si>
  <si>
    <t>52.0206 - Non-Profit/Public/Organizational Management.</t>
  </si>
  <si>
    <t>Examples: - Church Administration</t>
  </si>
  <si>
    <t>Religious/Canon Law.</t>
  </si>
  <si>
    <t>A program of study that focuses on the history, theology, and philosophy of religious, church, and ecclesiastical law and that prepares individuals to serve as professional canonists.</t>
  </si>
  <si>
    <t>Religious Institution Administration and Law, Other.</t>
  </si>
  <si>
    <t>Any instructional program in religious institution administration and law not listed above.</t>
  </si>
  <si>
    <t>Theology and Religious Vocations, Other.</t>
  </si>
  <si>
    <t>Instructional content is defined in code 39.9999.</t>
  </si>
  <si>
    <t>Any instructional program in theological studies and religious vocations not listed above.</t>
  </si>
  <si>
    <t>Examples: - Sacred Scripture Studies</t>
  </si>
  <si>
    <t>PHYSICAL SCIENCES.</t>
  </si>
  <si>
    <t>Instructional programs that focus on the scientific study of inanimate objects, processes of matter and energy, and associated phenomena.</t>
  </si>
  <si>
    <t>Physical Sciences, General.</t>
  </si>
  <si>
    <t>Instructional content is defined in code 40.0101.</t>
  </si>
  <si>
    <t>A program that focuses on the major topics, concepts, processes, and interrelationships of physical phenomena as studied in any combination of physical science disciplines.</t>
  </si>
  <si>
    <t>Astronomy and Astrophysics.</t>
  </si>
  <si>
    <t>Instructional content for this group of programs is defined in codes 40.0201 - 40.0299.</t>
  </si>
  <si>
    <t>Astronomy.</t>
  </si>
  <si>
    <t>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t>
  </si>
  <si>
    <t>Astrophysics.</t>
  </si>
  <si>
    <t>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t>
  </si>
  <si>
    <t>40.1101 - Physics and Astronomy.</t>
  </si>
  <si>
    <t>Planetary Astronomy and Science.</t>
  </si>
  <si>
    <t>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t>
  </si>
  <si>
    <t>Astronomy and Astrophysics, Other.</t>
  </si>
  <si>
    <t>Any instructional program in astronomy and astrophysics not listed above.</t>
  </si>
  <si>
    <t>Atmospheric Sciences and Meteorology.</t>
  </si>
  <si>
    <t>Instructional content for this group of programs is defined in codes 40.0401 - 40.0499.</t>
  </si>
  <si>
    <t>Atmospheric Sciences and Meteorology, General.</t>
  </si>
  <si>
    <t>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t>
  </si>
  <si>
    <t>Examples: - Atmospheric Sciences</t>
  </si>
  <si>
    <t>Atmospheric Chemistry and Climatology.</t>
  </si>
  <si>
    <t>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t>
  </si>
  <si>
    <t>Atmospheric Physics and Dynamics.</t>
  </si>
  <si>
    <t>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t>
  </si>
  <si>
    <t>Examples: - Magnetospheric Physics, - Aeronomy, - Ionospheric Environment</t>
  </si>
  <si>
    <t>Meteorology.</t>
  </si>
  <si>
    <t>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t>
  </si>
  <si>
    <t>Atmospheric Sciences and Meteorology, Other.</t>
  </si>
  <si>
    <t>Any instructional program in atmospheric sciences and meteorology not listed above.</t>
  </si>
  <si>
    <t>Chemistry.</t>
  </si>
  <si>
    <t>Instructional content for this group of programs is defined in codes 40.0501 - 40.0599.</t>
  </si>
  <si>
    <t>Chemistry, General.</t>
  </si>
  <si>
    <t>A general program that focuses on the scientific study of the composition and behavior of matter, including its micro- and macro-structure, the processes of chemical change, and the theoretical description and laboratory simulation of these phenomena.</t>
  </si>
  <si>
    <t>14.0701 - Chemical Engineering.</t>
  </si>
  <si>
    <t>Analytical Chemistry.</t>
  </si>
  <si>
    <t>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t>
  </si>
  <si>
    <t>Inorganic Chemistry.</t>
  </si>
  <si>
    <t>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t>
  </si>
  <si>
    <t>Organic Chemistry.</t>
  </si>
  <si>
    <t>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t>
  </si>
  <si>
    <t>Physical Chemistry.</t>
  </si>
  <si>
    <t>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t>
  </si>
  <si>
    <t>Polymer Chemistry.</t>
  </si>
  <si>
    <t>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t>
  </si>
  <si>
    <t>14.3201 - Polymer/Plastics Engineering.</t>
  </si>
  <si>
    <t>Chemical Physics.</t>
  </si>
  <si>
    <t>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t>
  </si>
  <si>
    <t>Environmental Chemistry.</t>
  </si>
  <si>
    <t>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t>
  </si>
  <si>
    <t>Forensic Chemistry.</t>
  </si>
  <si>
    <t>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t>
  </si>
  <si>
    <t>43.0406 - Forensic Science and Technology.</t>
  </si>
  <si>
    <t>Theoretical Chemistry.</t>
  </si>
  <si>
    <t>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t>
  </si>
  <si>
    <t>40.0512 - Cheminformatics/Chemistry Informatics.</t>
  </si>
  <si>
    <t>Cheminformatics/Chemistry Informatics.</t>
  </si>
  <si>
    <t>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t>
  </si>
  <si>
    <t>Examples: - Computational Chemistry</t>
  </si>
  <si>
    <t>Chemistry, Other.</t>
  </si>
  <si>
    <t>Any instructional program in chemistry not listed above.</t>
  </si>
  <si>
    <t>Geological and Earth Sciences/Geosciences.</t>
  </si>
  <si>
    <t>Instructional content for this group of programs is defined in codes 40.0601 - 40.0699.</t>
  </si>
  <si>
    <t>Geology/Earth Science, General.</t>
  </si>
  <si>
    <t>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t>
  </si>
  <si>
    <t>14.3901 - Geological/Geophysical Engineering.</t>
  </si>
  <si>
    <t>Geochemistry.</t>
  </si>
  <si>
    <t>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t>
  </si>
  <si>
    <t>Geophysics and Seismology.</t>
  </si>
  <si>
    <t>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t>
  </si>
  <si>
    <t>Paleontology.</t>
  </si>
  <si>
    <t>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t>
  </si>
  <si>
    <t>Hydrology and Water Resources Science.</t>
  </si>
  <si>
    <t>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t>
  </si>
  <si>
    <t>14.0805 - Water Resources Engineering., 03.0205 - Water, Wetlands, and Marine Resources Management.</t>
  </si>
  <si>
    <t>Examples: - Hydrogeology</t>
  </si>
  <si>
    <t>Geochemistry and Petrology.</t>
  </si>
  <si>
    <t>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t>
  </si>
  <si>
    <t>Oceanography, Chemical and Physical.</t>
  </si>
  <si>
    <t>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t>
  </si>
  <si>
    <t>Geological and Earth Sciences/Geosciences, Other.</t>
  </si>
  <si>
    <t>Any instructional program in geological and related sciences not listed above.</t>
  </si>
  <si>
    <t>Examples: - Geodetics, - Geodesy</t>
  </si>
  <si>
    <t>Physics.</t>
  </si>
  <si>
    <t>Instructional content for this group of programs is defined in codes 40.0801 - 40.0899.</t>
  </si>
  <si>
    <t>Physics, General.</t>
  </si>
  <si>
    <t>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t>
  </si>
  <si>
    <t>14.1201 - Engineering Physics/Applied Physics.</t>
  </si>
  <si>
    <t>Atomic/Molecular Physics.</t>
  </si>
  <si>
    <t>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t>
  </si>
  <si>
    <t>Elementary Particle Physics.</t>
  </si>
  <si>
    <t>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t>
  </si>
  <si>
    <t>Plasma and High-Temperature Physics.</t>
  </si>
  <si>
    <t>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t>
  </si>
  <si>
    <t>Nuclear Physics.</t>
  </si>
  <si>
    <t>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t>
  </si>
  <si>
    <t>14.2301 - Nuclear Engineering.</t>
  </si>
  <si>
    <t>Examples: - Nuclear Effects</t>
  </si>
  <si>
    <t>Optics/Optical Sciences.</t>
  </si>
  <si>
    <t>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t>
  </si>
  <si>
    <t>14.1003 - Laser and Optical Engineering.</t>
  </si>
  <si>
    <t>Examples: - Electro-Optics, - Atmospheric and Space Optics</t>
  </si>
  <si>
    <t>Condensed Matter and Materials Physics.</t>
  </si>
  <si>
    <t>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t>
  </si>
  <si>
    <t>Acoustics.</t>
  </si>
  <si>
    <t>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t>
  </si>
  <si>
    <t>Theoretical and Mathematical Physics.</t>
  </si>
  <si>
    <t>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t>
  </si>
  <si>
    <t>Physics, Other.</t>
  </si>
  <si>
    <t>Any instructional program in physics not listed above.</t>
  </si>
  <si>
    <t>Examples: - Electrodynamics</t>
  </si>
  <si>
    <t>Materials Sciences.</t>
  </si>
  <si>
    <t>Instructional content for this group of programs is defined in codes 40.1001 - 40.1099.</t>
  </si>
  <si>
    <t>Materials Science.</t>
  </si>
  <si>
    <t>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t>
  </si>
  <si>
    <t>14.1801 - Materials Engineering., 40.1002 - Materials Chemistry.</t>
  </si>
  <si>
    <t>Examples: - Mechanical Properties of Materials, - Structural Materials, - Electronic and Optical Materials, - Biomaterials, - Materials Theory, - Surface Technology</t>
  </si>
  <si>
    <t>Materials Chemistry.</t>
  </si>
  <si>
    <t>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t>
  </si>
  <si>
    <t>14.1801 - Materials Engineering., 40.1001 - Materials Science.</t>
  </si>
  <si>
    <t>Materials Sciences, Other.</t>
  </si>
  <si>
    <t>Any instructional program in materials sciences not listed above.</t>
  </si>
  <si>
    <t>Physics and Astronomy.</t>
  </si>
  <si>
    <t>Instructional content is defined in code 40.1101.</t>
  </si>
  <si>
    <t>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t>
  </si>
  <si>
    <t>40.0202 - Astrophysics.</t>
  </si>
  <si>
    <t>Physical Sciences, Other.</t>
  </si>
  <si>
    <t>Instructional content is defined in code 40.9999.</t>
  </si>
  <si>
    <t>Any instructional program in physical sciences not listed above.</t>
  </si>
  <si>
    <t>SCIENCE TECHNOLOGIES/TECHNICIANS.</t>
  </si>
  <si>
    <t>Instructional programs that prepare individuals to apply scientific principles and technical skills in support of scientific research and development.</t>
  </si>
  <si>
    <t>Science Technologies/Technicians, General.</t>
  </si>
  <si>
    <t>Instructional content is defined in code 41.0000.</t>
  </si>
  <si>
    <t>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t>
  </si>
  <si>
    <t>Examples: - Science Laboratory Technology</t>
  </si>
  <si>
    <t>Biology/Biotechnology Technologies/Technicians.</t>
  </si>
  <si>
    <t>Instructional content is defined in code 41.0101.</t>
  </si>
  <si>
    <t>Biology/Biotechnology Technology/Technician.</t>
  </si>
  <si>
    <t>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t>
  </si>
  <si>
    <t>51.1004 - Clinical/Medical Laboratory Technician.</t>
  </si>
  <si>
    <t>Examples: - Biotechnology Laboratory Technician, - Biology Laboratory Technician</t>
  </si>
  <si>
    <t>Nuclear and Industrial Radiologic Technologies/Technicians.</t>
  </si>
  <si>
    <t>Instructional content for this group of programs is defined in codes 41.0204 - 41.0299.</t>
  </si>
  <si>
    <t>Industrial Radiologic Technology/Technician.</t>
  </si>
  <si>
    <t>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t>
  </si>
  <si>
    <t>Nuclear/Nuclear Power Technology/Technician.</t>
  </si>
  <si>
    <t>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t>
  </si>
  <si>
    <t>Nuclear and Industrial Radiologic Technologies/Technicians, Other.</t>
  </si>
  <si>
    <t>Any instructional program in nuclear and industrial radiologic technologies not listed above.</t>
  </si>
  <si>
    <t>Physical Science Technologies/Technicians.</t>
  </si>
  <si>
    <t>Instructional content for this group of programs is defined in codes 41.0301 - 41.0399.</t>
  </si>
  <si>
    <t>Chemical Technology/Technician.</t>
  </si>
  <si>
    <t>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t>
  </si>
  <si>
    <t>Chemical Process Technology.</t>
  </si>
  <si>
    <t>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t>
  </si>
  <si>
    <t>Examples: - Chemical Process Technology</t>
  </si>
  <si>
    <t>Physical Science Technologies/Technicians, Other.</t>
  </si>
  <si>
    <t>Any instructional program in physical science technologies not listed above.</t>
  </si>
  <si>
    <t>Science Technologies/Technicians, Other.</t>
  </si>
  <si>
    <t>Instructional content is defined in code 41.9999.</t>
  </si>
  <si>
    <t>Any instructional program in science technologies not listed above.</t>
  </si>
  <si>
    <t>PSYCHOLOGY.</t>
  </si>
  <si>
    <t>Instructional programs that focus on the scientific study of the behavior of individuals, independently or collectively, and the physical and environmental bases of mental, emotional, and neurological activity.</t>
  </si>
  <si>
    <t>Psychology, General.</t>
  </si>
  <si>
    <t>Instructional content is defined in code 42.0101.</t>
  </si>
  <si>
    <t>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t>
  </si>
  <si>
    <t>30.1701 - Behavioral Sciences.</t>
  </si>
  <si>
    <t>Research and Experimental Psychology.</t>
  </si>
  <si>
    <t>Instructional content for this group of programs is defined in codes 42.2701 - 42.2799.</t>
  </si>
  <si>
    <t>Cognitive Psychology and Psycholinguistics.</t>
  </si>
  <si>
    <t>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t>
  </si>
  <si>
    <t>Comparative Psychology.</t>
  </si>
  <si>
    <t>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t>
  </si>
  <si>
    <t>Developmental and Child Psychology.</t>
  </si>
  <si>
    <t>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</si>
  <si>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19.0706 - Child Development.</t>
  </si>
  <si>
    <t>Examples: - Child Psychology, - Lifespan Development</t>
  </si>
  <si>
    <t>Experimental Psychology.</t>
  </si>
  <si>
    <t>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t>
  </si>
  <si>
    <t>Personality Psychology.</t>
  </si>
  <si>
    <t>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t>
  </si>
  <si>
    <t>Behavioral Neuroscience.</t>
  </si>
  <si>
    <t>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t>
  </si>
  <si>
    <t>30.1701 - Behavioral Sciences., 26.1501 - Neuroscience., 30.1001 - Biopsychology., 26.1504 - Neurobiology and Behavior.</t>
  </si>
  <si>
    <t>Examples: - Physiological Psychology, - Psychobiology</t>
  </si>
  <si>
    <t>Social Psychology.</t>
  </si>
  <si>
    <t>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t>
  </si>
  <si>
    <t>Psychometrics and Quantitative Psychology.</t>
  </si>
  <si>
    <t>A program that focuses on the mathematical and statistical procedures used in psychological test construction and validation; the general problems of the measurement of behavior; and the application of quantitative methods to research design and other methodological topics.</t>
  </si>
  <si>
    <t>Psychopharmacology.</t>
  </si>
  <si>
    <t>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t>
  </si>
  <si>
    <t>Developmental and Adolescent Psychology.</t>
  </si>
  <si>
    <t>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</si>
  <si>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Examples: - Adolescent Development</t>
  </si>
  <si>
    <t>Research and Experimental Psychology, Other.</t>
  </si>
  <si>
    <t>Any instructional program in research and experimental psychology not listed above.</t>
  </si>
  <si>
    <t>Clinical, Counseling and Applied Psychology.</t>
  </si>
  <si>
    <t>Instructional content for this group of programs is defined in codes 42.2801 - 42.2899. These CIP codes are not valid for IPEDS reporting.</t>
  </si>
  <si>
    <t>Clinical Psychology.</t>
  </si>
  <si>
    <t>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t>
  </si>
  <si>
    <t>Community Psychology.</t>
  </si>
  <si>
    <t>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t>
  </si>
  <si>
    <t>Counseling Psychology.</t>
  </si>
  <si>
    <t>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t>
  </si>
  <si>
    <t>51.1508 - Mental Health Counseling/Counselor.</t>
  </si>
  <si>
    <t>Industrial and Organizational Psychology.</t>
  </si>
  <si>
    <t>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t>
  </si>
  <si>
    <t>School Psychology.</t>
  </si>
  <si>
    <t>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t>
  </si>
  <si>
    <t>13.1101 - Counselor Education/School Counseling and Guidance Services.</t>
  </si>
  <si>
    <t>Educational Psychology.</t>
  </si>
  <si>
    <t>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t>
  </si>
  <si>
    <t>Clinical Child Psychology.</t>
  </si>
  <si>
    <t>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t>
  </si>
  <si>
    <t>Environmental Psychology.</t>
  </si>
  <si>
    <t>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t>
  </si>
  <si>
    <t>Geropsychology.</t>
  </si>
  <si>
    <t>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t>
  </si>
  <si>
    <t>19.0702 - Adult Development and Aging., 30.1101 - Gerontology.</t>
  </si>
  <si>
    <t>Health/Medical Psychology.</t>
  </si>
  <si>
    <t>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t>
  </si>
  <si>
    <t>Family Psychology.</t>
  </si>
  <si>
    <t>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t>
  </si>
  <si>
    <t>51.1505 - Marriage and Family Therapy/Counseling., 19.0704 - Family Systems.</t>
  </si>
  <si>
    <t>Forensic Psychology.</t>
  </si>
  <si>
    <t>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t>
  </si>
  <si>
    <t>Applied Psychology.</t>
  </si>
  <si>
    <t>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t>
  </si>
  <si>
    <t>Applied Behavior Analysis.</t>
  </si>
  <si>
    <t>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t>
  </si>
  <si>
    <t>Performance and Sport Psychology.</t>
  </si>
  <si>
    <t>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t>
  </si>
  <si>
    <t>31.0508 - Sports Studies.</t>
  </si>
  <si>
    <t>Examples: - Sport and Exercise Psychology</t>
  </si>
  <si>
    <t>Somatic Psychology.</t>
  </si>
  <si>
    <t>A program that focuses on a holistic approach to solving interpersonal issues and psychological problems. Includes instruction in authentic movement, body-mind balance and integration, contact improvisation, dance, Pilates, Tai Chi, relaxation techniques, and Yoga.</t>
  </si>
  <si>
    <t>Transpersonal/Spiritual Psychology.</t>
  </si>
  <si>
    <t>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t>
  </si>
  <si>
    <t>Clinical, Counseling and Applied Psychology, Other.</t>
  </si>
  <si>
    <t>Any instructional program in clinical, counseling and applied psychology not listed above.</t>
  </si>
  <si>
    <t>Psychology, Other.</t>
  </si>
  <si>
    <t>Instructional content is defined in code 42.9999.</t>
  </si>
  <si>
    <t>Any instructional program in psychology not listed above.</t>
  </si>
  <si>
    <t>Examples: - Neuropsychology</t>
  </si>
  <si>
    <t>HOMELAND SECURITY, LAW ENFORCEMENT, FIREFIGHTING AND RELATED PROTECTIVE SERVICES.</t>
  </si>
  <si>
    <t>Instructional programs that focus on the principles and procedures for providing homeland security, police, fire, and other safety services and managing penal institutions. Note: this series is titled Security and Protective Services" in the Canadian CIP."</t>
  </si>
  <si>
    <t>Criminal Justice and Corrections.</t>
  </si>
  <si>
    <t>Instructional content for this group of programs is defined in codes 43.0100 - 43.0199.</t>
  </si>
  <si>
    <t>Criminal Justice and Corrections, General.</t>
  </si>
  <si>
    <t>A program of study that focuses on the general study of criminal justice and corrections. Includes instruction in criminology, criminal justice, correctional science, forensic science, law enforcement, psychology, and ethics.</t>
  </si>
  <si>
    <t>Corrections.</t>
  </si>
  <si>
    <t>A program that prepares individuals to study the theories and principles, of correctional science and to function as professional corrections officers and other workers in public and/or private incarceration facilities.</t>
  </si>
  <si>
    <t>Criminal Justice/Law Enforcement Administration.</t>
  </si>
  <si>
    <t>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t>
  </si>
  <si>
    <t>Criminal Justice/Safety Studies.</t>
  </si>
  <si>
    <t>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t>
  </si>
  <si>
    <t>45.0401 - Criminology.</t>
  </si>
  <si>
    <t>Forensic Science and Technology.</t>
  </si>
  <si>
    <t>Moved from 43.0106 to 43.0406</t>
  </si>
  <si>
    <t>Criminal Justice/Police Science.</t>
  </si>
  <si>
    <t>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t>
  </si>
  <si>
    <t>Security and Loss Prevention Services.</t>
  </si>
  <si>
    <t>A program that prepares individuals to perform routine inspection, patrol and crime prevention services for private clients.  Includes instruction in the provision of personal protection as well as property security.</t>
  </si>
  <si>
    <t>Juvenile Corrections.</t>
  </si>
  <si>
    <t>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t>
  </si>
  <si>
    <t>Criminalistics and Criminal Science.</t>
  </si>
  <si>
    <t>Moved from 43.0111 to 43.0402</t>
  </si>
  <si>
    <t>Securities Services Administration/Management.</t>
  </si>
  <si>
    <t>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t>
  </si>
  <si>
    <t>Examples: - Business and Organizational Security Management</t>
  </si>
  <si>
    <t>Corrections Administration.</t>
  </si>
  <si>
    <t>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t>
  </si>
  <si>
    <t>Law Enforcement Investigation and Interviewing.</t>
  </si>
  <si>
    <t>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t>
  </si>
  <si>
    <t>Law Enforcement Record-Keeping and Evidence Management.</t>
  </si>
  <si>
    <t>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t>
  </si>
  <si>
    <t>Cyber/Computer Forensics and Counterterrorism.</t>
  </si>
  <si>
    <t>Moved from 43.0116 to 43.0403</t>
  </si>
  <si>
    <t>Financial Forensics and Fraud Investigation.</t>
  </si>
  <si>
    <t>Moved from 43.0117 to 43.0405</t>
  </si>
  <si>
    <t>Law Enforcement Intelligence Analysis.</t>
  </si>
  <si>
    <t>Moved from 43.0118 to 43.0408</t>
  </si>
  <si>
    <t>Critical Incident Response/Special Police Operations.</t>
  </si>
  <si>
    <t>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t>
  </si>
  <si>
    <t>Protective Services Operations.</t>
  </si>
  <si>
    <t>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t>
  </si>
  <si>
    <t>Examples: - Land Transportation Security, - Physical Security, - Protective Operations, - Evasive and Defensive Driving</t>
  </si>
  <si>
    <t>Suspension and Debarment Investigation.</t>
  </si>
  <si>
    <t>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t>
  </si>
  <si>
    <t>Maritime Law Enforcement.</t>
  </si>
  <si>
    <t>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t>
  </si>
  <si>
    <t>Cultural/Archaelogical Resources Protection.</t>
  </si>
  <si>
    <t>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t>
  </si>
  <si>
    <t>Corrections and Criminal Justice, Other.</t>
  </si>
  <si>
    <t>Any instructional program in corrections and criminal justice not listed above.</t>
  </si>
  <si>
    <t>03.0208 - Environmental/Natural Resources Law Enforcement and Protective Services.</t>
  </si>
  <si>
    <t>Fire Protection.</t>
  </si>
  <si>
    <t>Instructional content for this group of programs is defined in codes 43.0201 - 43.0299.</t>
  </si>
  <si>
    <t>Fire Prevention and Safety Technology/Technician.</t>
  </si>
  <si>
    <t>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t>
  </si>
  <si>
    <t>Examples: - Fire Prevention Education, - Fire Risk Prevention and Inspection</t>
  </si>
  <si>
    <t>Fire Services Administration.</t>
  </si>
  <si>
    <t>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t>
  </si>
  <si>
    <t>Examples: - Fire Administration, - Executive Fire Officer, - Fire Service and Management Information Systems</t>
  </si>
  <si>
    <t>Fire Science/Fire-fighting.</t>
  </si>
  <si>
    <t>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t>
  </si>
  <si>
    <t>Examples: - Firefighter Training</t>
  </si>
  <si>
    <t>Fire Systems Technology.</t>
  </si>
  <si>
    <t>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t>
  </si>
  <si>
    <t>Fire/Arson Investigation and Prevention.</t>
  </si>
  <si>
    <t>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t>
  </si>
  <si>
    <t>Examples: - Arson Prevention and Investigation, - Fire Investigation, - Fire Analysis</t>
  </si>
  <si>
    <t>Wildland/Forest Firefighting and Investigation.</t>
  </si>
  <si>
    <t>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t>
  </si>
  <si>
    <t>Fire Protection, Other.</t>
  </si>
  <si>
    <t>Any instructional program in fire protection not listed above.</t>
  </si>
  <si>
    <t>Homeland Security.</t>
  </si>
  <si>
    <t>Instructional content for this group of programs is defined in codes 43.0301 - 43.0399.</t>
  </si>
  <si>
    <t>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t>
  </si>
  <si>
    <t>Crisis/Emergency/Disaster Management.</t>
  </si>
  <si>
    <t>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t>
  </si>
  <si>
    <t>Examples: - Disaster Planning and Management, - Emergency and Disaster Mitigation, - Emergency Preparedness and Technology, - Incident Command Systems, - Emergency Training, - Disaster Operations and Recovery, - Integrated Emergency Management, - Disaster Medicine and Management, - Public Health Preparedness and Emergency Management</t>
  </si>
  <si>
    <t>Critical Infrastructure Protection.</t>
  </si>
  <si>
    <t>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t>
  </si>
  <si>
    <t>Terrorism and Counterterrorism Operations.</t>
  </si>
  <si>
    <t>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t>
  </si>
  <si>
    <t>Homeland Security, Other.</t>
  </si>
  <si>
    <t>Any instructional program in homeland security not listed above.</t>
  </si>
  <si>
    <t>Examples: - Search and Rescue Technician, - Emergency Telecommunicator, - Emergency Services Communications, - Public Safety Communications</t>
  </si>
  <si>
    <t>Security Science and Technology.</t>
  </si>
  <si>
    <t>Instructional content for this group of programs is defined in codes 43.0401 - 43.0499.</t>
  </si>
  <si>
    <t>Security Science and Technology, General.</t>
  </si>
  <si>
    <t>A program of study that focuses on the general application of science and technology to security.</t>
  </si>
  <si>
    <t>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t>
  </si>
  <si>
    <t>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t>
  </si>
  <si>
    <t>11.1003 - Computer and Information Systems Security/Auditing/Information Assurance.</t>
  </si>
  <si>
    <t>Examples: - Internet Investigation</t>
  </si>
  <si>
    <t>Cybersecurity Defense Strategy/Policy.</t>
  </si>
  <si>
    <t>A program that focuses on the study of strategy, policy, and standards regarding the security of and operations in cyberspace. Includes instruction in incident response, information assurance, recovery policies, vulnerability reduction, deterrence, threat reduction, and resiliency.</t>
  </si>
  <si>
    <t>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t>
  </si>
  <si>
    <t>Examples: - Fraud and Money-Laundering, - International Banking and Money-Laundering, - Terrorist Finance, - Asset Forfeiture, - Economic Crime Investigation, - Investigative and Forensic Accounting</t>
  </si>
  <si>
    <t>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t>
  </si>
  <si>
    <t>42.2812 - Forensic Psychology., 40.0510 - Forensic Chemistry., 44.0703 - Forensic Social Work., 45.0205 - Forensic Anthropology.</t>
  </si>
  <si>
    <t>Examples: - Crime Scene Investigation</t>
  </si>
  <si>
    <t>Geospatial Intelligence.</t>
  </si>
  <si>
    <t>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t>
  </si>
  <si>
    <t>45.0702 - Geographic Information Science and Cartography.</t>
  </si>
  <si>
    <t>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t>
  </si>
  <si>
    <t>Examples: - Electronic Surveillance</t>
  </si>
  <si>
    <t>Security Science and Technology, Other.</t>
  </si>
  <si>
    <t>Any instructional program in security science and technology not listed above.</t>
  </si>
  <si>
    <t>Homeland Security, Law Enforcement, Firefighting and Related Protective Services, Other.</t>
  </si>
  <si>
    <t>Instructional content is defined in code 43.9999.</t>
  </si>
  <si>
    <t>Any instructional program in homeland security, law enforcement, firefighting, and related protective services not listed above.</t>
  </si>
  <si>
    <t>PUBLIC ADMINISTRATION AND SOCIAL SERVICE PROFESSIONS.</t>
  </si>
  <si>
    <t>Instructional programs that prepare individuals to analyze, manage, and deliver public programs and services.</t>
  </si>
  <si>
    <t>Human Services, General.</t>
  </si>
  <si>
    <t>Instructional content is defined in code 44.0000.</t>
  </si>
  <si>
    <t>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t>
  </si>
  <si>
    <t>Examples: - Human Service Studies, - Human Services Studies</t>
  </si>
  <si>
    <t>Community Organization and Advocacy.</t>
  </si>
  <si>
    <t>Instructional content is defined in code 44.0201.</t>
  </si>
  <si>
    <t>A program that focuses on the theories, principles, and practice of organizing and providing services to communities. May prepare individuals to apply such knowledge and skills in community service positions.</t>
  </si>
  <si>
    <t>Public Administration.</t>
  </si>
  <si>
    <t>Instructional content for this group of programs is defined in codes 44.0401 - 44.0499.</t>
  </si>
  <si>
    <t>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t>
  </si>
  <si>
    <t>Public Works Management.</t>
  </si>
  <si>
    <t>A program of study that focuses on public works management skills and public works operation. Includes instruction in accountability, budget, conflict resolution strategies, ethics, finance, human resources, labor and employee relations, and operations management.</t>
  </si>
  <si>
    <t>Transportation and Infrastructure Planning/Studies.</t>
  </si>
  <si>
    <t>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t>
  </si>
  <si>
    <t>52.0209 - Transportation/Mobility Management.</t>
  </si>
  <si>
    <t>Public Administration, Other.</t>
  </si>
  <si>
    <t>Any program in public administration not listed above.</t>
  </si>
  <si>
    <t>Public Policy Analysis.</t>
  </si>
  <si>
    <t>Instructional content for this group of programs is defined in codes 44.0501 - 44.0599.</t>
  </si>
  <si>
    <t>Public Policy Analysis, General.</t>
  </si>
  <si>
    <t>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t>
  </si>
  <si>
    <t>Examples: - Public Policy Analysis</t>
  </si>
  <si>
    <t>Education Policy Analysis.</t>
  </si>
  <si>
    <t>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t>
  </si>
  <si>
    <t>Health Policy Analysis.</t>
  </si>
  <si>
    <t>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t>
  </si>
  <si>
    <t>International Policy Analysis.</t>
  </si>
  <si>
    <t>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t>
  </si>
  <si>
    <t>Public Policy Analysis, Other.</t>
  </si>
  <si>
    <t>Any instructional program in public policy analysis not listed above.</t>
  </si>
  <si>
    <t>Social Work.</t>
  </si>
  <si>
    <t>Instructional content for this group of programs is defined in codes 44.0701 - 44.0799.</t>
  </si>
  <si>
    <t>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</si>
  <si>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51.1503 - Clinical/Medical Social Work.</t>
  </si>
  <si>
    <t>Youth Services/Administration.</t>
  </si>
  <si>
    <t>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t>
  </si>
  <si>
    <t>Forensic Social Work.</t>
  </si>
  <si>
    <t>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t>
  </si>
  <si>
    <t>Social Work, Other.</t>
  </si>
  <si>
    <t>Any program providing instruction in social  work and related services not listed above.</t>
  </si>
  <si>
    <t>Public Administration and Social Service Professions, Other.</t>
  </si>
  <si>
    <t>Instructional content is defined in code 44.9999.</t>
  </si>
  <si>
    <t>Any instructional program in public administration and services not listed above.</t>
  </si>
  <si>
    <t>SOCIAL SCIENCES.</t>
  </si>
  <si>
    <t>Instructional programs that focus on the systematic study of social systems, social institutions, and social behavior.</t>
  </si>
  <si>
    <t>Social Sciences, General.</t>
  </si>
  <si>
    <t>Instructional content for this group of programs is defined in codes 45.0101 - 45.0199.</t>
  </si>
  <si>
    <t>A program that focuses on the general study of human social behavior and social institutions using any of the methodologies common to the social sciences and/or history, or an undifferentiated program of study in the social sciences.</t>
  </si>
  <si>
    <t>Research Methodology and Quantitative Methods.</t>
  </si>
  <si>
    <t>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t>
  </si>
  <si>
    <t>13.0603 - Educational Statistics and Research Methods., 27.0501 - Statistics, General.</t>
  </si>
  <si>
    <t>Examples: - Methodology, Measurement, and Statistics</t>
  </si>
  <si>
    <t>Survey Research/Methodology.</t>
  </si>
  <si>
    <t>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t>
  </si>
  <si>
    <t>27.0601 - Applied Statistics, General.</t>
  </si>
  <si>
    <t>Social Sciences, Other.</t>
  </si>
  <si>
    <t>Any program in general social sciences not listed above.</t>
  </si>
  <si>
    <t>Anthropology.</t>
  </si>
  <si>
    <t>Instructional content for this group of programs is defined in codes 45.0201 - 45.0299.</t>
  </si>
  <si>
    <t>Anthropology, General.</t>
  </si>
  <si>
    <t>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t>
  </si>
  <si>
    <t>Physical and Biological Anthropology.</t>
  </si>
  <si>
    <t>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t>
  </si>
  <si>
    <t>Medical Anthropology.</t>
  </si>
  <si>
    <t>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t>
  </si>
  <si>
    <t>51.3299 - Health Professions Education, Ethics, and Humanities, Other.</t>
  </si>
  <si>
    <t>Cultural Anthropology.</t>
  </si>
  <si>
    <t>A program that focuses on the study of culture and the relationship of culture to other aspects of social life. Includes instruction in cultural anthropology, anthropological theory, enthnography, linguistics, and quantitative and qualitative research methods.</t>
  </si>
  <si>
    <t>Examples: - Cultural Anthropology, - Cultural and Social Anthropology, - Socio-Cultural Anthropology</t>
  </si>
  <si>
    <t>Forensic Anthropology.</t>
  </si>
  <si>
    <t>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t>
  </si>
  <si>
    <t>Anthropology, Other.</t>
  </si>
  <si>
    <t>Any instructional program in Anthropology not listed above.</t>
  </si>
  <si>
    <t>Archeology.</t>
  </si>
  <si>
    <t>Instructional content is defined in code 45.0301.</t>
  </si>
  <si>
    <t>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t>
  </si>
  <si>
    <t>30.2201 - Ancient Studies/Civilization., 30.2202 - Classical, Ancient Mediterranean, and Near Eastern Studies and Archaeology., 30.4201 - Geoarcheaology.</t>
  </si>
  <si>
    <t>Examples: - Archaeometry</t>
  </si>
  <si>
    <t>Criminology.</t>
  </si>
  <si>
    <t>Instructional content is defined in code 45.0401.</t>
  </si>
  <si>
    <t>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t>
  </si>
  <si>
    <t>43.0104 - Criminal Justice/Safety Studies.</t>
  </si>
  <si>
    <t>Demography.</t>
  </si>
  <si>
    <t>Instructional content for this group of programs is defined in codes 45.0501 - 45.0599.</t>
  </si>
  <si>
    <t>Demography and Population Studies.</t>
  </si>
  <si>
    <t>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t>
  </si>
  <si>
    <t>Applied Demography.</t>
  </si>
  <si>
    <t>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t>
  </si>
  <si>
    <t>Demography, Other.</t>
  </si>
  <si>
    <t>Any instructional program in demography not listed above.</t>
  </si>
  <si>
    <t>Economics.</t>
  </si>
  <si>
    <t>Instructional content for this group of programs is defined in codes 45.0601 - 45.0699.</t>
  </si>
  <si>
    <t>Economics, General.</t>
  </si>
  <si>
    <t>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t>
  </si>
  <si>
    <t>01.0103 - Agricultural Economics., 19.0402 - Consumer Economics., 52.0601 - Business/Managerial Economics., 03.0204 - Environmental/Natural Resource Economics., 30.3901 - Economics and Computer Science., 30.4001 - Economics and Foreign Language/Literature.</t>
  </si>
  <si>
    <t>Applied Economics.</t>
  </si>
  <si>
    <t>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t>
  </si>
  <si>
    <t>01.0103 - Agricultural Economics., 19.0402 - Consumer Economics., 52.0601 - Business/Managerial Economics., 03.0204 - Environmental/Natural Resource Economics.</t>
  </si>
  <si>
    <t>Examples: - Behavioral and Experimental Economics</t>
  </si>
  <si>
    <t>Econometrics and Quantitative Economics.</t>
  </si>
  <si>
    <t>A program that focuses on the systematic study of mathematical and statistical analysis of economic phenomena and problems.  Includes instruction in economic statistics, optimization theory, cost/benefit analysis, price theory, economic modeling, and economic forecasting and evaluation.</t>
  </si>
  <si>
    <t>30.4901 - Mathematical Economics.</t>
  </si>
  <si>
    <t>Examples: - Cost Analysis, - Economic Forecasting</t>
  </si>
  <si>
    <t>Development Economics and International Development.</t>
  </si>
  <si>
    <t>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t>
  </si>
  <si>
    <t>01.0701 - International Agriculture.</t>
  </si>
  <si>
    <t>International Economics.</t>
  </si>
  <si>
    <t>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t>
  </si>
  <si>
    <t>52.0806 - International Finance., 52.1101 - International Business/Trade/Commerce., 52.1403 - International Marketing., 30.4001 - Economics and Foreign Language/Literature.</t>
  </si>
  <si>
    <t>Economics, Other.</t>
  </si>
  <si>
    <t>Any instructional program in economics not listed above.</t>
  </si>
  <si>
    <t>Examples: - Game Theory</t>
  </si>
  <si>
    <t>Geography and Cartography.</t>
  </si>
  <si>
    <t>Instructional content for this group of programs is defined in codes 45.0701 - 45.0799.</t>
  </si>
  <si>
    <t>Geography.</t>
  </si>
  <si>
    <t>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t>
  </si>
  <si>
    <t>30.4401 - Geography and Environmental Studies.</t>
  </si>
  <si>
    <t>Examples: - Environmental Geography, - Physical Geography, - Social Geography</t>
  </si>
  <si>
    <t>Geographic Information Science and Cartography.</t>
  </si>
  <si>
    <t>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t>
  </si>
  <si>
    <t>43.0407 - Geospatial Intelligence.</t>
  </si>
  <si>
    <t>Examples: - Geographic Information Systems (GIS), - Spatial Analysis, - Geomatics, - Remote Sensing</t>
  </si>
  <si>
    <t>Geography, Other.</t>
  </si>
  <si>
    <t>Any instructional program in geography not listed above.</t>
  </si>
  <si>
    <t>International Relations and National Security Studies.</t>
  </si>
  <si>
    <t>Instructional content for this group of programs is defined in codes 45.0901 - 45.0999.</t>
  </si>
  <si>
    <t>International Relations and Affairs.</t>
  </si>
  <si>
    <t>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t>
  </si>
  <si>
    <t>30.2001 - International/Globalization Studies.</t>
  </si>
  <si>
    <t>Examples: - International Relations, - International Affairs, - Foreign Policy and Diplomacy, - International Relations and Affairs-Economics, - International Relations and Affairs-History, - International Relations and Affairs-Political Science</t>
  </si>
  <si>
    <t>National Security Policy Studies.</t>
  </si>
  <si>
    <t>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t>
  </si>
  <si>
    <t>28.0601 - Strategic Studies, General.</t>
  </si>
  <si>
    <t>Examples: - National Security Studies, - Strategic Studies</t>
  </si>
  <si>
    <t>International Relations and National Security Studies, Other.</t>
  </si>
  <si>
    <t>Any instructional program in international relations and national security studies not listed above.</t>
  </si>
  <si>
    <t>Political Science and Government.</t>
  </si>
  <si>
    <t>Instructional content for this group of programs is defined in codes 45.1001 - 45.1099.</t>
  </si>
  <si>
    <t>Political Science and Government, General.</t>
  </si>
  <si>
    <t>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</si>
  <si>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American Government and Politics (United States).</t>
  </si>
  <si>
    <t>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t>
  </si>
  <si>
    <t>Canadian Government and Politics.</t>
  </si>
  <si>
    <t>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t>
  </si>
  <si>
    <t>Political Economy.</t>
  </si>
  <si>
    <t>A program that focuses on the interaction between politics and economics in the formation of public policy.  Includes instruction in microeconomics; macroeconomics; political theory; American, comparative, and international political economy; and quantitative methods.</t>
  </si>
  <si>
    <t>Examples: - International Political Economy, - Political Economy and Government</t>
  </si>
  <si>
    <t>Political Science and Government, Other.</t>
  </si>
  <si>
    <t>Any instructional program in political science and government not listed above.</t>
  </si>
  <si>
    <t>30.4601 - History and Political Science., 30.5101 - Philosophy, Politics, and Economics.</t>
  </si>
  <si>
    <t>Sociology.</t>
  </si>
  <si>
    <t>Instructional content for this group of programs is defined in codes 45.1101 - 45.1199.</t>
  </si>
  <si>
    <t>Sociology, General.</t>
  </si>
  <si>
    <t>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</si>
  <si>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Applied/Public Sociology.</t>
  </si>
  <si>
    <t>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t>
  </si>
  <si>
    <t>Rural Sociology.</t>
  </si>
  <si>
    <t>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t>
  </si>
  <si>
    <t>Examples: - Rural Development Studies</t>
  </si>
  <si>
    <t>Sociology, Other.</t>
  </si>
  <si>
    <t>Any instructional program in sociology not listed above.</t>
  </si>
  <si>
    <t>Urban Studies/Affairs.</t>
  </si>
  <si>
    <t>Instructional content is defined in code 45.1201.</t>
  </si>
  <si>
    <t>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t>
  </si>
  <si>
    <t>04.0301 - City/Urban, Community, and Regional Planning.</t>
  </si>
  <si>
    <t>Examples: - Urban and Regional Studies</t>
  </si>
  <si>
    <t>Sociology and Anthropology.</t>
  </si>
  <si>
    <t>Instructional content is defined in code 45.1301.</t>
  </si>
  <si>
    <t>A program that combines sociology and anthropology to study how society is organized, the origins and development of social institutions, social change, social organizations, race, class, gender and culture.</t>
  </si>
  <si>
    <t>45.0201 - Anthropology, General., 45.1101 - Sociology, General.</t>
  </si>
  <si>
    <t>Deleted</t>
  </si>
  <si>
    <t>Deleted, Report under 45.1103</t>
  </si>
  <si>
    <t>Moved from 45.1401 to 45.1103</t>
  </si>
  <si>
    <t>Geography and Anthropology.</t>
  </si>
  <si>
    <t>Instructional content is defined in code 45.1501.</t>
  </si>
  <si>
    <t>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t>
  </si>
  <si>
    <t>Instructional content is defined in code 45.9999.</t>
  </si>
  <si>
    <t>Any instructional program in social sciences not listed above.</t>
  </si>
  <si>
    <t>CONSTRUCTION TRADES.</t>
  </si>
  <si>
    <t>Instructional programs that prepare individuals to apply technical knowledge and skills in the building, inspecting, and maintaining of structures and related properties.</t>
  </si>
  <si>
    <t>Construction Trades, General.</t>
  </si>
  <si>
    <t>Instructional content is defined in code 46.0000.</t>
  </si>
  <si>
    <t>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t>
  </si>
  <si>
    <t>Examples: - Construction Craft Worker</t>
  </si>
  <si>
    <t>Mason/Masonry.</t>
  </si>
  <si>
    <t>Instructional content is defined in code 46.0101.</t>
  </si>
  <si>
    <t>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t>
  </si>
  <si>
    <t>Examples: - Bricklayer, - Brick and Stone Mason</t>
  </si>
  <si>
    <t>Carpenters.</t>
  </si>
  <si>
    <t>Instructional content is defined in code 46.0201.</t>
  </si>
  <si>
    <t>Carpentry/Carpenter.</t>
  </si>
  <si>
    <t>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t>
  </si>
  <si>
    <t>Examples: - General Carpenter</t>
  </si>
  <si>
    <t>Electrical and Power Transmission Installers.</t>
  </si>
  <si>
    <t>Instructional content for this group of programs is defined in codes 46.0301 - 46.0399.</t>
  </si>
  <si>
    <t>Electrical and Power Transmission Installation/Installer, General.</t>
  </si>
  <si>
    <t>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t>
  </si>
  <si>
    <t>Electrician.</t>
  </si>
  <si>
    <t>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t>
  </si>
  <si>
    <t>15.0303 - Electrical, Electronic, and Communications Engineering Technology/Technician.</t>
  </si>
  <si>
    <t>Examples: - Construction Electrician, - Industrial Electrician</t>
  </si>
  <si>
    <t>Lineworker.</t>
  </si>
  <si>
    <t>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t>
  </si>
  <si>
    <t>Examples: - Power Line Electrician, - Power Lineman, - Powerline Technician, - Powerline Technician (Operating)</t>
  </si>
  <si>
    <t>Electrical and Power Transmission Installers, Other.</t>
  </si>
  <si>
    <t>Any instructional program in electrical and power transmission installation not listed above.</t>
  </si>
  <si>
    <t>Building/Construction Finishing, Management, and Inspection.</t>
  </si>
  <si>
    <t>Instructional content for this group of programs is defined in codes 46.0401 - 46.0499.</t>
  </si>
  <si>
    <t>Building/Property Maintenance.</t>
  </si>
  <si>
    <t>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t>
  </si>
  <si>
    <t>Examples: - Building Maintenance, - Property Maintenance, - Custodial Services</t>
  </si>
  <si>
    <t>Concrete Finishing/Concrete Finisher.</t>
  </si>
  <si>
    <t>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t>
  </si>
  <si>
    <t>Building/Home/Construction Inspection/Inspector.</t>
  </si>
  <si>
    <t>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t>
  </si>
  <si>
    <t>Drywall Installation/Drywaller.</t>
  </si>
  <si>
    <t>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t>
  </si>
  <si>
    <t>Examples: - Drywall, Acousting and Lathing Applicator, - Drywall and Acoustical Mechanic, - Lather (Interior Systems Mechanic), - Interior Systems Installer, - Wall and Ceiling Installer</t>
  </si>
  <si>
    <t>Glazier.</t>
  </si>
  <si>
    <t>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t>
  </si>
  <si>
    <t>Examples: - Erector Mechanic (Glazier), - Glassworker</t>
  </si>
  <si>
    <t>Painting/Painter and Wall Coverer.</t>
  </si>
  <si>
    <t>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t>
  </si>
  <si>
    <t>Examples: - Painting (Commercial), - Painter and Decorator, - Painter and Decorator - Commercial and Residential</t>
  </si>
  <si>
    <t>Roofer.</t>
  </si>
  <si>
    <t>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t>
  </si>
  <si>
    <t>Metal Building Assembly/Assembler.</t>
  </si>
  <si>
    <t>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t>
  </si>
  <si>
    <t>Building/Construction Site Management/Manager.</t>
  </si>
  <si>
    <t>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t>
  </si>
  <si>
    <t>52.2001 - Construction Management, General.</t>
  </si>
  <si>
    <t>Carpet, Floor, and Tile Worker.</t>
  </si>
  <si>
    <t>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t>
  </si>
  <si>
    <t>Examples: - Carpet, Flooring, and Tile Technician, - Floorcovering Installer, - Carpet, Linoleum, and Soft Tile Layer, - Carpet/Flooring and Hardwood Technician, - Tiling and Flooring Technician, - Tilesetter, - Terrazzo, Tile and Marble Setter</t>
  </si>
  <si>
    <t>Insulator.</t>
  </si>
  <si>
    <t>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t>
  </si>
  <si>
    <t>Examples: - Heat and Frost Insulator, - Asbestos Worker/Insulator, - Thermal Insulation Installer, - Boiler and Pipe Insulator, - Firestopping Insulator, - Sound Insulator</t>
  </si>
  <si>
    <t>Building Construction Technology/Technician.</t>
  </si>
  <si>
    <t>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t>
  </si>
  <si>
    <t>Examples: - Construction Technology</t>
  </si>
  <si>
    <t>Building/Construction Finishing, Management, and Inspection, Other.</t>
  </si>
  <si>
    <t>Any instructional program in building/construction finishing, management, and inspection not listed above.</t>
  </si>
  <si>
    <t>Plumbing and Related Water Supply Services.</t>
  </si>
  <si>
    <t>Instructional content for this group of programs is defined in codes 46.0502 - 46.0599.</t>
  </si>
  <si>
    <t>Pipefitting/Pipefitter and Sprinkler Fitter.</t>
  </si>
  <si>
    <t>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t>
  </si>
  <si>
    <t>Examples: - Sprinkler and Fire Protection Installer, - Sprinkler System Installer, - Steamfitter/Pipefitter</t>
  </si>
  <si>
    <t>Plumbing Technology/Plumber.</t>
  </si>
  <si>
    <t>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t>
  </si>
  <si>
    <t>Examples: - Pipefitter - Plumber Specialty</t>
  </si>
  <si>
    <t>Well Drilling/Driller.</t>
  </si>
  <si>
    <t>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t>
  </si>
  <si>
    <t>Examples: - Rig Technician, - Derrickhand, - Motorhand</t>
  </si>
  <si>
    <t>Blasting/Blaster.</t>
  </si>
  <si>
    <t>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t>
  </si>
  <si>
    <t>Plumbing and Related Water Supply Services, Other.</t>
  </si>
  <si>
    <t>Any instructional program in plumbing and related water supply services not listed above.</t>
  </si>
  <si>
    <t>Construction Trades, Other.</t>
  </si>
  <si>
    <t>Instructional content is defined in code 46.9999.</t>
  </si>
  <si>
    <t>Any instructional program in construction trades not listed above.</t>
  </si>
  <si>
    <t>Examples: - Elevator Constructor, - Manlift Technician</t>
  </si>
  <si>
    <t>MECHANIC AND REPAIR TECHNOLOGIES/TECHNICIANS.</t>
  </si>
  <si>
    <t>Instructional programs that prepare individuals to apply technical knowledge and skills in the adjustment, maintenance, part replacement, and repair of tools, equipment, and machines.</t>
  </si>
  <si>
    <t>Mechanics and Repairers, General.</t>
  </si>
  <si>
    <t>Instructional content is defined in code 47.0000.</t>
  </si>
  <si>
    <t>A program that generally prepares individuals to apply technical knowledge and skills in the adjustment, maintenance, part replacement, and repair of tools, equipment, and machines.</t>
  </si>
  <si>
    <t>Electrical/Electronics Maintenance and Repair Technologies/Technicians.</t>
  </si>
  <si>
    <t>Instructional content for this group of programs is defined in codes 47.0101 - 47.0199.</t>
  </si>
  <si>
    <t>Electrical/Electronics Equipment Installation and Repair Technology/Technician, General.</t>
  </si>
  <si>
    <t>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t>
  </si>
  <si>
    <t>Examples: - Electric Motor System Technician, - Electric Motor Winder, - Electrical Rewind Mechanic, - Winder Electrician</t>
  </si>
  <si>
    <t>Business Machine Repair.</t>
  </si>
  <si>
    <t>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t>
  </si>
  <si>
    <t>Communications Systems Installation and Repair Technology/Technician.</t>
  </si>
  <si>
    <t>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t>
  </si>
  <si>
    <t>Computer Installation and Repair Technology/Technician.</t>
  </si>
  <si>
    <t>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t>
  </si>
  <si>
    <t>15.1202 - Computer/Computer Systems Technology/Technician.</t>
  </si>
  <si>
    <t>Industrial Electronics Technology/Technician.</t>
  </si>
  <si>
    <t>A program that prepares individuals to apply technical knowledge and skills to assemble, install, operate, maintain, and repair electrical/electronic equipment used in industry and manufacturing.  Includes instruction in installing, maintaining and testing various types of equipment.</t>
  </si>
  <si>
    <t>Appliance Installation and Repair Technology/Technician.</t>
  </si>
  <si>
    <t>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t>
  </si>
  <si>
    <t>Examples: - Appliance Service Technician</t>
  </si>
  <si>
    <t>Security System Installation, Repair, and Inspection Technology/Technician.</t>
  </si>
  <si>
    <t>A program that prepares individuals to apply technical knowledge and skills to install and repair household, business, and industrial security alarms, sensors, video and sound recording devices, identification systems, protective barriers, and related technologies.</t>
  </si>
  <si>
    <t>Electrical/Electronics Maintenance and Repair Technologies/Technicians, Other.</t>
  </si>
  <si>
    <t>Any instructional program in electrical and electronics equipment installation and repair technologies not listed above.</t>
  </si>
  <si>
    <t>Heating, Air Conditioning, Ventilation and Refrigeration Maintenance Technology/Technician (HAC, HACR, HVAC, HVACR).</t>
  </si>
  <si>
    <t>Instructional content is defined in code 47.0201.</t>
  </si>
  <si>
    <t>Heating, Air Conditioning, Ventilation and Refrigeration Maintenance Technology/Technician.</t>
  </si>
  <si>
    <t>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t>
  </si>
  <si>
    <t>15.0501 - Heating, Ventilation, Air Conditioning and Refrigeration Engineering Technology/Technician.</t>
  </si>
  <si>
    <t>Examples: - Heating and Air Conditioning Maintenance Technology/Technician (HAC), - Heating, Air Conditioning, and Refrigeration Maintenance Technology/Technician (HACR), - Heating, Ventilation, and Air Conditioning Maintenance Technology/Technician (HVAC), - Heating, Air Conditioning, Ventilation, and Refrigeration Maintenance Technology/Technician (HVACR), - Oil Burner Mechanic, - Refrigeration Mechanic, - Refrigeration and Air Conditioning Mechanic, - Refrigeration and Air Conditioning Systems Mechanic</t>
  </si>
  <si>
    <t>Heavy/Industrial Equipment Maintenance Technologies/Technicians.</t>
  </si>
  <si>
    <t>Instructional content for this group of programs is defined in codes 47.0302 - 47.0399.</t>
  </si>
  <si>
    <t>Heavy Equipment Maintenance Technology/Technician.</t>
  </si>
  <si>
    <t>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t>
  </si>
  <si>
    <t>Examples: - Heavy Duty Equipment Mechanic, - Heavy Duty Equipment Technician, - Heavy Duty Equipment Technician (Off Road), - Heavy Equipment Service Technician</t>
  </si>
  <si>
    <t>Industrial Mechanics and Maintenance Technology/Technician.</t>
  </si>
  <si>
    <t>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t>
  </si>
  <si>
    <t>Examples: - Industrial Plant Technician, - Industrial Equipment Technology, - Industrial Mechanic, - Millwright</t>
  </si>
  <si>
    <t>Heavy/Industrial Equipment Maintenance Technologies/Technicians, Other.</t>
  </si>
  <si>
    <t>Any instructional program in heavy or industrial equipment maintenance technologies not listed above.</t>
  </si>
  <si>
    <t>Precision Systems Maintenance and Repair Technologies/Technicians.</t>
  </si>
  <si>
    <t>Instructional content for this group of programs is defined in codes 47.0402 - 47.0499.</t>
  </si>
  <si>
    <t>Gunsmithing/Gunsmith.</t>
  </si>
  <si>
    <t>A program that prepares individuals to apply technical knowledge and skills to make, repair, maintain, and modify firearms according to blueprints or customer specifications, using specialized hand tools and machines.</t>
  </si>
  <si>
    <t>Locksmithing and Safe Repair.</t>
  </si>
  <si>
    <t>A program that prepares individuals to apply technical knowledge and skills to make, repair, maintain, modify, and open locks; to make keys; to enter and change lock and safe combinations; and install and repair safes.</t>
  </si>
  <si>
    <t>Musical Instrument Fabrication and Repair.</t>
  </si>
  <si>
    <t>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t>
  </si>
  <si>
    <t>Watchmaking and Jewelrymaking.</t>
  </si>
  <si>
    <t>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t>
  </si>
  <si>
    <t>Parts and Warehousing Operations and Maintenance Technology/Technician.</t>
  </si>
  <si>
    <t>A program that prepares individuals to apply technical knowledge and skills to maintain inventory control, care for inventory, and make minor repairs to warehouse equipment.</t>
  </si>
  <si>
    <t>Examples: - Automotive Partsperson, - Parts Technician, - Partsperson</t>
  </si>
  <si>
    <t>Precision Systems Maintenance and Repair Technologies/Technicians, Other.</t>
  </si>
  <si>
    <t>Any instructional program in precision systems maintenance and repair not listed above.</t>
  </si>
  <si>
    <t>Examples: - Sports Equipment Fabrication and Repair Technician</t>
  </si>
  <si>
    <t>Vehicle Maintenance and Repair Technologies/Technicians.</t>
  </si>
  <si>
    <t>Instructional content for this group of programs is defined in codes 47.0600 - 47.0699.</t>
  </si>
  <si>
    <t>Vehicle Maintenance and Repair Technology/Technician, General.</t>
  </si>
  <si>
    <t>A program that generally prepares individuals to apply technical knowledge and skills in the adjustment, maintenance, part replacement, and repair of vehicles and mobile equipment.</t>
  </si>
  <si>
    <t>Autobody/Collision and Repair Technology/Technician.</t>
  </si>
  <si>
    <t>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t>
  </si>
  <si>
    <t>Examples: - Auto Body Refinisher, - Auto Body Technician, - Automotive Collision Repair Technician, - Automotive Painter, - Automotive Refinishing Technician, - Motor Vehicle Body Painter, - Motor Vehicle Body Refinisher, - Motor Vehicle Body Refinisher Sub-Trade, - Painting (autobody)</t>
  </si>
  <si>
    <t>Automobile/Automotive Mechanics Technology/Technician.</t>
  </si>
  <si>
    <t>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t>
  </si>
  <si>
    <t>15.0803 - Automotive Engineering Technology/Technician.</t>
  </si>
  <si>
    <t>Examples: - Automotive Service Technician, - Motor Vehicle Mechanic</t>
  </si>
  <si>
    <t>Diesel Mechanics Technology/Technician.</t>
  </si>
  <si>
    <t>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t>
  </si>
  <si>
    <t>Small Engine Mechanics and Repair Technology/Technician.</t>
  </si>
  <si>
    <t>A program that prepares individuals to apply technical knowledge and skills to repair, service, and maintain small internal-combustion engines used on portable power equipment such as lawnmowers, chain saws, rotary tillers, and snowmobiles.</t>
  </si>
  <si>
    <t>Airframe Mechanics and Aircraft Maintenance Technology/Technician.</t>
  </si>
  <si>
    <t>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t>
  </si>
  <si>
    <t>Aircraft Powerplant Technology/Technician.</t>
  </si>
  <si>
    <t>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t>
  </si>
  <si>
    <t>Avionics Maintenance Technology/Technician.</t>
  </si>
  <si>
    <t>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t>
  </si>
  <si>
    <t>15.0801 - Aeronautical/Aerospace Engineering Technology/Technician.</t>
  </si>
  <si>
    <t>Bicycle Mechanics and Repair Technology/Technician.</t>
  </si>
  <si>
    <t>A program that prepares individuals to apply technical knowledge and skills to repair, service, and maintain bicycles and other human-powered vehicles.  Includes instruction in lubrication, adjustments of moving parts, and wheel building.</t>
  </si>
  <si>
    <t>Motorcycle Maintenance and Repair Technology/Technician.</t>
  </si>
  <si>
    <t>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t>
  </si>
  <si>
    <t>Examples: - Motorcycle Mechanic</t>
  </si>
  <si>
    <t>Vehicle Emissions Inspection and Maintenance Technology/Technician.</t>
  </si>
  <si>
    <t>A program that prepares individuals to apply technical knowledge and skills to test, repair, service, and maintain vehicle emission systems in accordance with relevant laws and regulations.</t>
  </si>
  <si>
    <t>Medium/Heavy Vehicle and Truck Technology/Technician.</t>
  </si>
  <si>
    <t>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t>
  </si>
  <si>
    <t>Examples: - Commercial Trailer Mechanic, - Transport Trailer Technician, - Truck and Coach Technician, - Truck and Transport Mechanic, - Truck-Trailer Service Technician, - Commercial Transport Vehicle Mechanic</t>
  </si>
  <si>
    <t>Alternative Fuel Vehicle Technology/Technician.</t>
  </si>
  <si>
    <t>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t>
  </si>
  <si>
    <t>Engine Machinist.</t>
  </si>
  <si>
    <t>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t>
  </si>
  <si>
    <t>Marine Maintenance/Fitter and Ship Repair Technology/Technician.</t>
  </si>
  <si>
    <t>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t>
  </si>
  <si>
    <t>High Performance and Custom Engine Technician/Mechanic.</t>
  </si>
  <si>
    <t>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t>
  </si>
  <si>
    <t>Examples: - High Performance Powertrain Technician/Mechanic, - Automotive High Performance Technician/Mechanic</t>
  </si>
  <si>
    <t>Recreation Vehicle (RV) Service Technician.</t>
  </si>
  <si>
    <t>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t>
  </si>
  <si>
    <t>Examples: - Recreation Vehicle (RV) Mechanic, - Recreation Vehicle (RV) Service Technician, - Recreation Vehicle (RV) Technician</t>
  </si>
  <si>
    <t>Vehicle Maintenance and Repair Technologies/Technicians, Other.</t>
  </si>
  <si>
    <t>Any instructional program in vehicle maintenance and repair technologies not listed above.</t>
  </si>
  <si>
    <t>Energy Systems Maintenance and Repair Technologies/Technicians.</t>
  </si>
  <si>
    <t>Instructional content for this group of programs is defined in codes 47.0701 - 47.0799.</t>
  </si>
  <si>
    <t>Energy Systems Installation and Repair Technology/Technician.</t>
  </si>
  <si>
    <t>A program that prepares individuals to apply technical knowledge and skills to assemble, install, operate, maintain, and repair energy systems. Includes instruction in installing, maintaining and testing various types of equipment.</t>
  </si>
  <si>
    <t>15.1701 - Energy Systems Technology/Technician.</t>
  </si>
  <si>
    <t>Solar Energy System Installation and Repair Technology/Technician.</t>
  </si>
  <si>
    <t>A program that prepares individuals to apply technical knowledge and skills to assemble, install, operate, maintain, and repair solar energy systems. Includes instruction in installing, maintaining and testing various types of equipment.</t>
  </si>
  <si>
    <t>15.1703 - Solar Energy Technology/Technician.</t>
  </si>
  <si>
    <t>Examples: - Solar Photovoltaic Installation</t>
  </si>
  <si>
    <t>Wind Energy System Installation and Repair Technology/Technician.</t>
  </si>
  <si>
    <t>A program that prepares individuals to apply technical knowledge and skills to assemble, install, operate, maintain, and repair wind energy systems. Includes instruction in installing, maintaining and testing various types of equipment.</t>
  </si>
  <si>
    <t>15.1704 - Wind Energy Technology/Technician.</t>
  </si>
  <si>
    <t>Hydroelectric Energy System Installation and Repair Technology/Technician.</t>
  </si>
  <si>
    <t>A program that prepares individuals to apply technical knowledge and skills to assemble, install, operate, maintain, and repair hydroelectric energy systems. Includes instruction in installing, maintaining and testing various types of equipment.</t>
  </si>
  <si>
    <t>15.1705 - Hydroelectric Energy Technology/Technician.</t>
  </si>
  <si>
    <t>Geothermal Energy System Installation and Repair Technology/Technician.</t>
  </si>
  <si>
    <t>A program that prepares individuals to apply technical knowledge and skills to assemble, install, operate, maintain, and repair geothermal energy systems. Includes instruction in installing, maintaining and testing various types of equipment.</t>
  </si>
  <si>
    <t>15.1706 - Geothermal Energy Technology/Technician.</t>
  </si>
  <si>
    <t>Energy Systems Maintenance and Repair Technologies/Technicians, Other.</t>
  </si>
  <si>
    <t>Any instructional program in energy systems maintenance and repair technologies not listed above.</t>
  </si>
  <si>
    <t>15.1799 - Energy Systems Technologies/Technicians, Other.</t>
  </si>
  <si>
    <t>Mechanic and Repair Technologies/Technicians, Other.</t>
  </si>
  <si>
    <t>Instructional content is defined in code 47.9999.</t>
  </si>
  <si>
    <t>Any instructional program in mechanic and repair technologies not listed above.</t>
  </si>
  <si>
    <t>PRECISION PRODUCTION.</t>
  </si>
  <si>
    <t>Instructional programs that prepare individuals to apply technical knowledge and skills to create products using techniques of precision craftsmanship or technical illustration.</t>
  </si>
  <si>
    <t>Precision Production Trades, General.</t>
  </si>
  <si>
    <t>Instructional content is defined in code 48.0000.</t>
  </si>
  <si>
    <t>A program that generally prepares individuals to apply technical knowledge and skills in creating products using precision crafting and technical illustration.</t>
  </si>
  <si>
    <t>Leatherworking and Upholstery.</t>
  </si>
  <si>
    <t>Instructional content for this group of programs is defined in codes 48.0303 - 48.0399.</t>
  </si>
  <si>
    <t>Upholstery/Upholsterer.</t>
  </si>
  <si>
    <t>A program that prepares individuals to apply technical knowledge and skills to install springs, filling, padding, covering and finishing on items such as furniture, automobile seats, caskets, mattresses, and bedsprings.</t>
  </si>
  <si>
    <t>Shoe, Boot and Leather Repair.</t>
  </si>
  <si>
    <t>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t>
  </si>
  <si>
    <t>Leatherworking and Upholstery, Other.</t>
  </si>
  <si>
    <t>Any instructional program in leatherworking and upholstering not listed above.</t>
  </si>
  <si>
    <t>Precision Metal Working.</t>
  </si>
  <si>
    <t>Instructional content for this group of programs is defined in codes 48.0501 - 48.0599.</t>
  </si>
  <si>
    <t>Machine Tool Technology/Machinist.</t>
  </si>
  <si>
    <t>A program that prepares individuals to apply technical knowledge and skills to plan, manufacture, assemble, test, and repair parts, mechanisms, machines, and structures in which materials are cast, formed, shaped, molded, heat treated, cut, twisted, pressed, fused, stamped or worked.</t>
  </si>
  <si>
    <t>Examples: - General Machinist, - Machinist</t>
  </si>
  <si>
    <t>Machine Shop Technology/Assistant.</t>
  </si>
  <si>
    <t>A program that prepares individuals to apply technical knowledge and skills to fabricate and modify metal parts in support of other manufacturing, repair or design activities, or as an independent business.</t>
  </si>
  <si>
    <t>Sheet Metal Technology/Sheetworking.</t>
  </si>
  <si>
    <t>A program that prepares individuals to apply technical knowledge and skills to form, shape, bend and fold extruded metals, including the creation of new products, using hand tools and machines such as cornice brakes, forming rolls, and squaring shears.</t>
  </si>
  <si>
    <t>Examples: - Sheet Metal Worker</t>
  </si>
  <si>
    <t>Tool and Die Technology/Technician.</t>
  </si>
  <si>
    <t>A program that prepares individuals to apply technical knowledge and skills to operate machine tools used in the forming of metal components, as well as the fabrication of special tools, dies, jigs and fixtures used in cutting, working and finishing metal components.</t>
  </si>
  <si>
    <t>Examples: - Tool and Die Maker</t>
  </si>
  <si>
    <t>Welding Technology/Welder.</t>
  </si>
  <si>
    <t>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t>
  </si>
  <si>
    <t>15.0614 - Welding Engineering Technology/Technician.</t>
  </si>
  <si>
    <t>Examples: - Arc Welding, - Flux-Core Arc Welding, - Gas Metal Arc Welding, - Gas Tungsten Arc Welding, - Shielded Metal Arc Welding, - Structural Steel Welding, - Tungsten Inert Gas (TIG) Welding, - Pipe Welding, - Wire Welding, - Industrial Welder, - Welder, - Metal Inert Gas (MIG) Welding</t>
  </si>
  <si>
    <t>Ironworking/Ironworker.</t>
  </si>
  <si>
    <t>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t>
  </si>
  <si>
    <t>Examples: - Ironworker (Generalist), - Ironworker (Reinforcing), - Ironworker (Structural/Ornamental), - Ironworker Reinforcing Rebar, - Ironworker Rodworker</t>
  </si>
  <si>
    <t>Computer Numerically Controlled (CNC) Machinist Technology/CNC Machinist.</t>
  </si>
  <si>
    <t>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t>
  </si>
  <si>
    <t>Metal Fabricator.</t>
  </si>
  <si>
    <t>A program that prepares individuals to apply technical knowledge and skills to further process ferrous and/or non-ferrous metal plates or shapes, and to manufacture and/or install products as interpreted through technical drawings. Includes instruction in trade tools, shop equipment, reading and interpreting blueprints, material handling, welding, thermal cutting, metallurgy, template pattern development, plate and structural fabrication, destructive and non-destructive testing, inspection, shipment preparation and fabrication installation.</t>
  </si>
  <si>
    <t>Examples: - Metal Fabricator, - Steel Fabricator, - Steel Fabricator (Fitter), - Structural Steel and Plate Fitter</t>
  </si>
  <si>
    <t>Precision Metal Working, Other.</t>
  </si>
  <si>
    <t>Any instructional program in precision metal work not listed above.</t>
  </si>
  <si>
    <t>Woodworking.</t>
  </si>
  <si>
    <t>Instructional content for this group of programs is defined in codes 48.0701 - 48.0799.</t>
  </si>
  <si>
    <t>Woodworking, General.</t>
  </si>
  <si>
    <t>A program that generally prepares individuals to apply technical knowledge and skills to lay out and shape stock; assemble wooden articles or subassemblies; mark, bind, saw, carve, and sand wooden products; repair wooden articles, and use a variety of hand and power tools.</t>
  </si>
  <si>
    <t>46.0201 - Carpentry/Carpenter.</t>
  </si>
  <si>
    <t>Furniture Design and Manufacturing.</t>
  </si>
  <si>
    <t>A program that prepares individuals to apply technical knowledge and skills to prepare and execute furniture design projects, assemble and finish furniture articles or subassemblies, repair furniture, and use a variety of hand and power tools.</t>
  </si>
  <si>
    <t>Cabinetmaking and Millwork.</t>
  </si>
  <si>
    <t>A program that prepares individuals to apply technical knowledge and skills to set up, operate and repair industrial woodworking machinery, and to use such machinery to design and fabricate wooden components and complete articles.</t>
  </si>
  <si>
    <t>Examples: - Cabinetmaker, - Joiner</t>
  </si>
  <si>
    <t>Wooden Boatbuilding Technology/Technician.</t>
  </si>
  <si>
    <t>A program that prepares individuals to apply technical knowledge and skills to construct and repair traditional and modern wooden boats. Includes instruction in budgeting, drafting, fairing, lofting, joinery, planking, spars and rigging, and woodworking.</t>
  </si>
  <si>
    <t>15.0806 - Marine Engineering Technology/Technician.</t>
  </si>
  <si>
    <t>Woodworking, Other.</t>
  </si>
  <si>
    <t>Any instructional program in woodworking not listed above.</t>
  </si>
  <si>
    <t>Boilermaking/Boilermaker.</t>
  </si>
  <si>
    <t>Instructional content is defined in code 48.0801.</t>
  </si>
  <si>
    <t>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t>
  </si>
  <si>
    <t>Examples: - Construction Boilermaker</t>
  </si>
  <si>
    <t>Precision Production, Other.</t>
  </si>
  <si>
    <t>Instructional content is defined in code 48.9999.</t>
  </si>
  <si>
    <t>Any instructional program in precision production not listed above.</t>
  </si>
  <si>
    <t>Examples: - Diamond Cutting, - Diamond Polishing, - Diamond Cutting and Polishing</t>
  </si>
  <si>
    <t>TRANSPORTATION AND MATERIALS MOVING.</t>
  </si>
  <si>
    <t>Instructional programs that prepare individuals to apply technical knowledge and skills to perform tasks and services that facilitate the movement of people or materials.</t>
  </si>
  <si>
    <t>Air Transportation.</t>
  </si>
  <si>
    <t>Instructional content for this group of programs is defined in codes 49.0101 - 49.0199.</t>
  </si>
  <si>
    <t>Aeronautics/Aviation/Aerospace Science and Technology, General.</t>
  </si>
  <si>
    <t>A program that focuses on the general study of aviation and the aviation industry, including in-flight and ground support operations.  Includes instruction in the technical, business, and general aspects of air transportation systems.</t>
  </si>
  <si>
    <t>Airline/Commercial/Professional Pilot and Flight Crew.</t>
  </si>
  <si>
    <t>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t>
  </si>
  <si>
    <t>Aviation/Airway Management and Operations.</t>
  </si>
  <si>
    <t>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t>
  </si>
  <si>
    <t>Air Traffic Controller.</t>
  </si>
  <si>
    <t>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t>
  </si>
  <si>
    <t>Airline Flight Attendant.</t>
  </si>
  <si>
    <t>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t>
  </si>
  <si>
    <t>Flight Instructor.</t>
  </si>
  <si>
    <t>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t>
  </si>
  <si>
    <t>Remote Aircraft Pilot.</t>
  </si>
  <si>
    <t>A program that prepares individuals to apply technical knowledge and skills to fly unmanned aircraft system (UAS) for commercial, professional, 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t>
  </si>
  <si>
    <t>36.0207 - Remote Aircraft Pilot (Personal).</t>
  </si>
  <si>
    <t>Examples: - Unmanned Aircraft Systems (UAS)</t>
  </si>
  <si>
    <t>Air Transportation, Other.</t>
  </si>
  <si>
    <t>Any instructional program in aviation and air transportation services not listed above.</t>
  </si>
  <si>
    <t>Ground Transportation.</t>
  </si>
  <si>
    <t>Instructional content for this group of programs is defined in codes 49.0202 - 49.0299.</t>
  </si>
  <si>
    <t>Construction/Heavy Equipment/Earthmoving Equipment Operation.</t>
  </si>
  <si>
    <t>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t>
  </si>
  <si>
    <t>01.0204 - Agricultural Power Machinery Operation.</t>
  </si>
  <si>
    <t>Truck and Bus Driver/Commercial Vehicle Operator and Instructor.</t>
  </si>
  <si>
    <t>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t>
  </si>
  <si>
    <t>Mobil Crane Operator/Operation.</t>
  </si>
  <si>
    <t>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t>
  </si>
  <si>
    <t>Examples: - Crane and Hoist Operator, - Crane and Hoisting Equipment Operator, - Crane Operator, - Mobile Crane Operator</t>
  </si>
  <si>
    <t>Flagging and Traffic Control.</t>
  </si>
  <si>
    <t>A program that prepares individuals to control the movement of traffic through construction and maintenance zones and to protect the safety of work crews, drivers, and pedestrians. Includes instruction in flagging duties and responsibilities, the traffic control zone, flagging signals, pavement markers, freeway flagging, utility flagging, emergency response flagging, and night traffic control.</t>
  </si>
  <si>
    <t>Railroad and Railway Transportation.</t>
  </si>
  <si>
    <t>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t>
  </si>
  <si>
    <t>Examples: - Railway Operations, - Railroad Conductor, - Locomotive Engineer, - Brakeman/Brakewoman, - Railway Dispatcher, - Yardmaster, - Railroad Maintenance of Way Welding</t>
  </si>
  <si>
    <t>Forklift Operation/Operator.</t>
  </si>
  <si>
    <t>A program that prepares individuals to operate forklifts in a variety of work environments. Includes instruction in accident prevention, forklift operation, materials handling, and worksite safety.</t>
  </si>
  <si>
    <t>Ground Transportation, Other.</t>
  </si>
  <si>
    <t>Any instructional program in vehicle and equipment operation not listed above.</t>
  </si>
  <si>
    <t>Marine Transportation.</t>
  </si>
  <si>
    <t>Instructional content for this group of programs is defined in codes 49.0303 - 49.0399.</t>
  </si>
  <si>
    <t>Commercial Fishing.</t>
  </si>
  <si>
    <t>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t>
  </si>
  <si>
    <t>03.0301 - Fishing and Fisheries Sciences and Management.</t>
  </si>
  <si>
    <t>Diver, Professional and Instructor.</t>
  </si>
  <si>
    <t>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t>
  </si>
  <si>
    <t>Marine Science/Merchant Marine Officer.</t>
  </si>
  <si>
    <t>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t>
  </si>
  <si>
    <t>Marine Transportation, Other.</t>
  </si>
  <si>
    <t>Any instructional program in water transportation not listed above.</t>
  </si>
  <si>
    <t>Transportation and Materials Moving, Other.</t>
  </si>
  <si>
    <t>Instructional content is defined in code 49.9999.</t>
  </si>
  <si>
    <t>Any instructional program in transportation and materials moving not listed above.</t>
  </si>
  <si>
    <t>VISUAL AND PERFORMING ARTS.</t>
  </si>
  <si>
    <t>Instructional programs that focus on the creation and interpretation of works and performances that use auditory, kinesthetic, and visual phenomena to express ideas and emotions in various forms, subject to aesthetic criteria.</t>
  </si>
  <si>
    <t>Visual and Performing Arts, General.</t>
  </si>
  <si>
    <t>Instructional content for this group of programs is defined in codes 50.0101 - 50.0102.</t>
  </si>
  <si>
    <t>A general, undifferentiated program that focuses on the visual and performing arts and that may prepare individuals in any of the visual artistic media or performing disciplines.</t>
  </si>
  <si>
    <t>Digital Arts.</t>
  </si>
  <si>
    <t>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t>
  </si>
  <si>
    <t>09.0702 - Digital Communication and Media/Multimedia.</t>
  </si>
  <si>
    <t>Examples: - Digital Art</t>
  </si>
  <si>
    <t>Crafts/Craft Design, Folk Art and Artisanry.</t>
  </si>
  <si>
    <t>Instructional content is defined in code 50.0201.</t>
  </si>
  <si>
    <t>A program that focuses on the aesthetics, techniques, and creative processes for designing and fashioning objects in one or more of the handcraft or folk art traditions, and that prepares individuals to create in any of these media.</t>
  </si>
  <si>
    <t>Dance.</t>
  </si>
  <si>
    <t>Instructional content for this group of programs is defined in codes 50.0301 - 50.0399.</t>
  </si>
  <si>
    <t>Dance, General.</t>
  </si>
  <si>
    <t>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t>
  </si>
  <si>
    <t>Examples: - Dance Movement Studies</t>
  </si>
  <si>
    <t>Ballet.</t>
  </si>
  <si>
    <t>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t>
  </si>
  <si>
    <t>Dance, Other.</t>
  </si>
  <si>
    <t>Any instructional program in dance not listed above.</t>
  </si>
  <si>
    <t>Design and Applied Arts.</t>
  </si>
  <si>
    <t>Instructional content for this group of programs is defined in codes 50.0401 - 50.0499.</t>
  </si>
  <si>
    <t>Design and Visual Communications, General.</t>
  </si>
  <si>
    <t>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t>
  </si>
  <si>
    <t>Commercial and Advertising Art.</t>
  </si>
  <si>
    <t>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t>
  </si>
  <si>
    <t>09.0903 - Advertising.</t>
  </si>
  <si>
    <t>Examples: - Sign Painting, - Commercial Art Painting</t>
  </si>
  <si>
    <t>Industrial and Product Design.</t>
  </si>
  <si>
    <t>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t>
  </si>
  <si>
    <t>Commercial Photography.</t>
  </si>
  <si>
    <t>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t>
  </si>
  <si>
    <t>Fashion/Apparel Design.</t>
  </si>
  <si>
    <t>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t>
  </si>
  <si>
    <t>19.0902 - Apparel and Textile Manufacture.</t>
  </si>
  <si>
    <t>Interior Design.</t>
  </si>
  <si>
    <t>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t>
  </si>
  <si>
    <t>04.0501 - Interior Architecture., 19.0601 - Housing and Human Environments, General.</t>
  </si>
  <si>
    <t>Graphic Design.</t>
  </si>
  <si>
    <t>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t>
  </si>
  <si>
    <t>10.0301 - Graphic Communications, General.</t>
  </si>
  <si>
    <t>Illustration.</t>
  </si>
  <si>
    <t>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t>
  </si>
  <si>
    <t>51.2703 - Medical Illustration/Medical Illustrator.</t>
  </si>
  <si>
    <t>Game and Interactive Media Design.</t>
  </si>
  <si>
    <t>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t>
  </si>
  <si>
    <t>11.0804 - Modeling, Virtual Environments and Simulation., 11.0204 - Computer Game Programming.</t>
  </si>
  <si>
    <t>Examples: - Game Design, - Game Development</t>
  </si>
  <si>
    <t>Design and Applied Arts, Other.</t>
  </si>
  <si>
    <t>Any instructional program in design and applied arts not listed above.</t>
  </si>
  <si>
    <t>Drama/Theatre Arts and Stagecraft.</t>
  </si>
  <si>
    <t>Instructional content for this group of programs is defined in codes 50.0501 - 50.0599.</t>
  </si>
  <si>
    <t>Drama and Dramatics/Theatre Arts, General.</t>
  </si>
  <si>
    <t>A program that focuses on the general study of dramatic works and their performance.  Includes instruction in major works of dramatic literature, dramatic styles and types, and the principles of organizing and producing full live or filmed productions.</t>
  </si>
  <si>
    <t>Technical Theatre/Theatre Design and Technology.</t>
  </si>
  <si>
    <t>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t>
  </si>
  <si>
    <t>Examples: - Scene Painting</t>
  </si>
  <si>
    <t>Playwriting and Screenwriting.</t>
  </si>
  <si>
    <t>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t>
  </si>
  <si>
    <t>Examples: - Dramatic Writing, - Writing for Screen and Television</t>
  </si>
  <si>
    <t>Theatre Literature, History and Criticism.</t>
  </si>
  <si>
    <t>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t>
  </si>
  <si>
    <t>Acting.</t>
  </si>
  <si>
    <t>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t>
  </si>
  <si>
    <t>Directing and Theatrical Production.</t>
  </si>
  <si>
    <t>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t>
  </si>
  <si>
    <t>Musical Theatre.</t>
  </si>
  <si>
    <t>A program that focuses on the principles and techniques for integrating theatre, music, and dance into a unified production. Includes instruction in acting, dance, voice, technical theater, musical genres, piano, and history of musical theater.</t>
  </si>
  <si>
    <t>Costume Design.</t>
  </si>
  <si>
    <t>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t>
  </si>
  <si>
    <t>Comedy Writing and Performance.</t>
  </si>
  <si>
    <t>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t>
  </si>
  <si>
    <t>Examples: - Comedic Arts, - Comedy Studies</t>
  </si>
  <si>
    <t>Theatre and Dance.</t>
  </si>
  <si>
    <t>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t>
  </si>
  <si>
    <t>Dramatic/Theatre Arts and Stagecraft, Other.</t>
  </si>
  <si>
    <t>Any instructional program in dramatic/theatre arts and stagecraft not listed above.</t>
  </si>
  <si>
    <t>51.2315 - Drama Therapy/Therapist.</t>
  </si>
  <si>
    <t>Film/Video and Photographic Arts.</t>
  </si>
  <si>
    <t>Instructional content for this group of programs is defined in codes 50.0601 - 50.0699.</t>
  </si>
  <si>
    <t>Film/Cinema/Media Studies.</t>
  </si>
  <si>
    <t>A program in the visual arts that focuses on the study of the history, development, theory, and criticism of the film/media arts, as well as the basic principles of filmmaking and film production.</t>
  </si>
  <si>
    <t>Examples: - Video Studies</t>
  </si>
  <si>
    <t>Cinematography and Film/Video Production.</t>
  </si>
  <si>
    <t>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t>
  </si>
  <si>
    <t>Examples: - Cinema Production</t>
  </si>
  <si>
    <t>Photography.</t>
  </si>
  <si>
    <t>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t>
  </si>
  <si>
    <t>09.0404 - Photojournalism.</t>
  </si>
  <si>
    <t>Documentary Production.</t>
  </si>
  <si>
    <t>A program that prepares individuals to produce nonfiction film and video. Includes instruction in film and video writing, directing, and production; film studies; history of the documentary; research techniques; videography; editing; and business aspects of film production.</t>
  </si>
  <si>
    <t>Film/Video and Photographic Arts, Other.</t>
  </si>
  <si>
    <t>Any instructional program in film/video and photographic arts not listed above.</t>
  </si>
  <si>
    <t>Fine and Studio Arts.</t>
  </si>
  <si>
    <t>Instructional content for this group of programs is defined in codes 50.0701 - 50.0799.</t>
  </si>
  <si>
    <t>Art/Art Studies, General.</t>
  </si>
  <si>
    <t>A general program that focuses on the introductory study and appreciation of the visual arts.  Includes instruction in art, photography, and other visual communications media.</t>
  </si>
  <si>
    <t>Fine/Studio Arts, General.</t>
  </si>
  <si>
    <t>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t>
  </si>
  <si>
    <t>Art History, Criticism and Conservation.</t>
  </si>
  <si>
    <t>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t>
  </si>
  <si>
    <t>Drawing.</t>
  </si>
  <si>
    <t>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t>
  </si>
  <si>
    <t>Intermedia/Multimedia.</t>
  </si>
  <si>
    <t>A program that prepares individuals creatively and technically to express emotions, ideas, or inner visions in either two or three dimensions, through simultaneous use of a variety of materials and media.</t>
  </si>
  <si>
    <t>Painting.</t>
  </si>
  <si>
    <t>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t>
  </si>
  <si>
    <t>Examples: - Painting (Fine Art)</t>
  </si>
  <si>
    <t>Sculpture.</t>
  </si>
  <si>
    <t>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t>
  </si>
  <si>
    <t>Printmaking.</t>
  </si>
  <si>
    <t>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t>
  </si>
  <si>
    <t>Ceramic Arts and Ceramics.</t>
  </si>
  <si>
    <t>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t>
  </si>
  <si>
    <t>14.0601 - Ceramic Sciences and Engineering.</t>
  </si>
  <si>
    <t>Fiber, Textile and Weaving Arts.</t>
  </si>
  <si>
    <t>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t>
  </si>
  <si>
    <t>Jewelry Arts.</t>
  </si>
  <si>
    <t>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t>
  </si>
  <si>
    <t>Metal Arts.</t>
  </si>
  <si>
    <t>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t>
  </si>
  <si>
    <t>Fine Arts and Art Studies, Other.</t>
  </si>
  <si>
    <t>Any instructional program in fine arts and art studies not listed above.</t>
  </si>
  <si>
    <t>Examples: - Glass Making</t>
  </si>
  <si>
    <t>Instructional content for this group of programs is defined in codes 50.0901 - 50.0999.</t>
  </si>
  <si>
    <t>Music, General.</t>
  </si>
  <si>
    <t>A general program that focuses on the introductory study and appreciation of music and the performing arts.  Includes instruction in music, dance, and other performing arts media.</t>
  </si>
  <si>
    <t>Music History, Literature, and Theory.</t>
  </si>
  <si>
    <t>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t>
  </si>
  <si>
    <t>Music Performance, General.</t>
  </si>
  <si>
    <t>A program that generally prepares individuals to master musical instruments and performing art as solo and/or ensemble performers.  Includes instruction on one or more specific instruments from various instrumental groupings.</t>
  </si>
  <si>
    <t>Music Theory and Composition.</t>
  </si>
  <si>
    <t>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t>
  </si>
  <si>
    <t>Musicology and Ethnomusicology.</t>
  </si>
  <si>
    <t>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t>
  </si>
  <si>
    <t>Conducting.</t>
  </si>
  <si>
    <t>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t>
  </si>
  <si>
    <t>Keyboard Instruments.</t>
  </si>
  <si>
    <t>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t>
  </si>
  <si>
    <t>Examples: - Piano, - Organ, - Harpsichord</t>
  </si>
  <si>
    <t>Voice and Opera.</t>
  </si>
  <si>
    <t>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t>
  </si>
  <si>
    <t>Jazz/Jazz Studies.</t>
  </si>
  <si>
    <t>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t>
  </si>
  <si>
    <t>Stringed Instruments.</t>
  </si>
  <si>
    <t>A program that prepares individual to master a stringed instrument and performing arts as solo, ensemble and/or accompanist performers.  Includes instruction in playing and personal style development.</t>
  </si>
  <si>
    <t>Examples: - Violin, - Viola, - Double Bass, - Guitar, - Banjo, - Harp</t>
  </si>
  <si>
    <t>Music Pedagogy.</t>
  </si>
  <si>
    <t>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t>
  </si>
  <si>
    <t>Music Technology.</t>
  </si>
  <si>
    <t>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t>
  </si>
  <si>
    <t>10.0203 - Recording Arts Technology/Technician.</t>
  </si>
  <si>
    <t>Brass Instruments.</t>
  </si>
  <si>
    <t>A program that prepares individuals to master a brass instrument and performing art as solo, ensemble, and/or accompanist performers. Includes instruction in playing and personal style development.</t>
  </si>
  <si>
    <t>Examples: - Trumpet, - Horn, - Trombone, - Euphonium/Baritone, - Tuba</t>
  </si>
  <si>
    <t>Woodwind Instruments.</t>
  </si>
  <si>
    <t>A program that prepares individuals to master a woodwind instrument and performing art as solo, ensemble, and/or accompanist  performers. Includes instruction in playing and personal style development.</t>
  </si>
  <si>
    <t>Examples: - Flute, - Oboe, - Clarinet, - Bassoon, - Saxophone</t>
  </si>
  <si>
    <t>Percussion Instruments.</t>
  </si>
  <si>
    <t>A program that prepares individuals to master percussion instruments and performing art for a variety of musical settings, including orchestral, solo, chamber, commercial, or nontraditional. Includes instruction in playing and personal style development.</t>
  </si>
  <si>
    <t>Examples: - Bass Drum, - Snare Drum, - Timpani, - Vibraphone</t>
  </si>
  <si>
    <t>Sound Arts.</t>
  </si>
  <si>
    <t>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t>
  </si>
  <si>
    <t>Music, Other.</t>
  </si>
  <si>
    <t>Any instructional program in music not listed above.</t>
  </si>
  <si>
    <t>Arts, Entertainment, and Media Management.</t>
  </si>
  <si>
    <t>Instructional content for this group of programs is defined in codes 50.1001 - 50.1099.</t>
  </si>
  <si>
    <t>Arts, Entertainment, and Media Management, General.</t>
  </si>
  <si>
    <t>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t>
  </si>
  <si>
    <t>Examples: - Entertainment Business, - Performing Arts Administration</t>
  </si>
  <si>
    <t>Fine and Studio Arts Management.</t>
  </si>
  <si>
    <t>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t>
  </si>
  <si>
    <t>30.1401 - Museology/Museum Studies.</t>
  </si>
  <si>
    <t>Examples: - Visual Arts Management</t>
  </si>
  <si>
    <t>Music Management.</t>
  </si>
  <si>
    <t>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t>
  </si>
  <si>
    <t>Examples: - Music Merchandising</t>
  </si>
  <si>
    <t>Theatre/Theatre Arts Management.</t>
  </si>
  <si>
    <t>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t>
  </si>
  <si>
    <t>Arts, Entertainment, and Media Management, Other.</t>
  </si>
  <si>
    <t>Any instructional program in arts, entertainment, and media management not listed above.</t>
  </si>
  <si>
    <t>Community/Environmental/Socially-Engaged Art.</t>
  </si>
  <si>
    <t>Instructional content is defined in code 50.1101.</t>
  </si>
  <si>
    <t>A program that focuses on using the arts to promote activism, civic dialog, community development, ecological and environmental awareness, or social justice. Includes instruction in community organizing, cultural criticism, social practice, studio art, and visual and performing arts.</t>
  </si>
  <si>
    <t>Examples: - Community Arts Practice, - Socially-Engaged Practice in Design and the Arts, - Socially-Engaged Art, - Socially-Engaged Studio Art, - Art and Social Practice</t>
  </si>
  <si>
    <t>Visual and Performing Arts, Other.</t>
  </si>
  <si>
    <t>Instructional content is defined in code 50.9999.</t>
  </si>
  <si>
    <t>Any instructional program in visual and performing arts not listed above.</t>
  </si>
  <si>
    <t>HEALTH PROFESSIONS AND RELATED PROGRAMS.</t>
  </si>
  <si>
    <t>Instructional programs that prepare individuals to practice as licensed professionals and assistants in the health care professions and related clinical sciences and administrative and support services.</t>
  </si>
  <si>
    <t>Health Services/Allied Health/Health Sciences, General.</t>
  </si>
  <si>
    <t>Instructional content for this group of programs is defined in codes 51.0000 - 51.0001.</t>
  </si>
  <si>
    <t>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t>
  </si>
  <si>
    <t>Health and Wellness, General.</t>
  </si>
  <si>
    <t>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t>
  </si>
  <si>
    <t>31.0501 - Sports, Kinesiology, and Physical Education/Fitness, General.</t>
  </si>
  <si>
    <t>Examples: - Health and Wellness, - Health Promotion and Wellness, - Wellness, Health Promotion and Injury Prevention</t>
  </si>
  <si>
    <t>Chiropractic.</t>
  </si>
  <si>
    <t>Instructional content is defined in code 51.0101.</t>
  </si>
  <si>
    <t>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t>
  </si>
  <si>
    <t>Examples: - Chiropractic (DC)</t>
  </si>
  <si>
    <t>Communication Disorders Sciences and Services.</t>
  </si>
  <si>
    <t>Instructional content for this group of programs is defined in codes 51.0201 - 51.0299.</t>
  </si>
  <si>
    <t>Communication Sciences and Disorders, General.</t>
  </si>
  <si>
    <t>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t>
  </si>
  <si>
    <t>Examples: - Communication Disorders</t>
  </si>
  <si>
    <t>Audiology/Audiologist.</t>
  </si>
  <si>
    <t>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t>
  </si>
  <si>
    <t>Examples: - Audiology and Hearing Sciences</t>
  </si>
  <si>
    <t>Speech-Language Pathology/Pathologist.</t>
  </si>
  <si>
    <t>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t>
  </si>
  <si>
    <t>Examples: - Speech Pathology, - Speech-Language Pathology</t>
  </si>
  <si>
    <t>Audiology/Audiologist and Speech-Language Pathology/Pathologist.</t>
  </si>
  <si>
    <t>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t>
  </si>
  <si>
    <t>Examples: - Audiology and Speech Pathology, - Audiology and Speech-Language Pathology</t>
  </si>
  <si>
    <t>Communication Disorders Sciences and Services, Other.</t>
  </si>
  <si>
    <t>Any  instructional program in communications disorders sciences and services not listed above.</t>
  </si>
  <si>
    <t>51.0816 - Speech-Language Pathology Assistant., 51.0918 - Hearing Instrument Specialist., 05.0211 - Deaf Studies., 16.1601 - American Sign Language (ASL).</t>
  </si>
  <si>
    <t>Examples: - Child Speech-Language Disorders, - Pre-Speech Language Pathology and Audiology</t>
  </si>
  <si>
    <t>Dentistry.</t>
  </si>
  <si>
    <t>Instructional content is defined in code 51.0401.</t>
  </si>
  <si>
    <t>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t>
  </si>
  <si>
    <t>Examples: - Dentistry (DDS, DMD)</t>
  </si>
  <si>
    <t>Advanced/Graduate Dentistry and Oral Sciences.</t>
  </si>
  <si>
    <t>Instructional content for this group of programs is defined in codes 51.0501 - 51.0599.</t>
  </si>
  <si>
    <t>Dental Clinical Sciences, General.</t>
  </si>
  <si>
    <t>An integrated or undifferentiated program that generally prepares dentists in one or more of the oral sciences and advanced/graduate dentistry specialties.</t>
  </si>
  <si>
    <t>Examples: - Dental Clinical Sciences, General (MS), - Dental Clinical Sciences, General (PhD)</t>
  </si>
  <si>
    <t>Advanced General Dentistry.</t>
  </si>
  <si>
    <t>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t>
  </si>
  <si>
    <t>Examples: - Advanced General Dentistry (Cert.), - Advanced General Dentistry (MS), - Advanced General Dentistry (PhD)</t>
  </si>
  <si>
    <t>Oral Biology and Oral and Maxillofacial Pathology.</t>
  </si>
  <si>
    <t>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t>
  </si>
  <si>
    <t>Examples: - Oral Biology and Oral and Maxillofacial Pathology (MS), - Oral Biology and Oral and Maxillofacial Pathology (PhD), - Oral and Craniofacial Biology, - Craniofacial Biology, - Oral Biology and Oral Pathology</t>
  </si>
  <si>
    <t>Dental Public Health and Education.</t>
  </si>
  <si>
    <t>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t>
  </si>
  <si>
    <t>Examples: - Dental Public Health and Education (Cert.), - Dental Public Health and Education (MS, MPH), - Dental Public Health and Education (PhD, DPH)</t>
  </si>
  <si>
    <t>Dental Materials.</t>
  </si>
  <si>
    <t>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t>
  </si>
  <si>
    <t>Examples: - Dental Materials (MS), - Dental Materials (PhD)</t>
  </si>
  <si>
    <t>Endodontics/Endodontology.</t>
  </si>
  <si>
    <t>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t>
  </si>
  <si>
    <t>Examples: - Endodontics/Endodontology (Cert.), - Endodontics/Endodontology (MS), - Endodontics/Endodontology (PhD)</t>
  </si>
  <si>
    <t>Oral/Maxillofacial Surgery.</t>
  </si>
  <si>
    <t>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t>
  </si>
  <si>
    <t>Examples: - Oral/Maxillofacial Surgery (Cert.), - Oral/Maxillofacial Surgery (MS), - Oral/Maxillofacial Surgery (PhD)</t>
  </si>
  <si>
    <t>Orthodontics/Orthodontology.</t>
  </si>
  <si>
    <t>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t>
  </si>
  <si>
    <t>Examples: - Orthodontics/Orthodontology (Cert.), - Orthodontics/Orthodontology (MS), - Orthodontics/Orthodontology (PhD), - Orthodontics and Dentofacial Orthopedics</t>
  </si>
  <si>
    <t>Pediatric Dentistry/Pedodontics.</t>
  </si>
  <si>
    <t>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t>
  </si>
  <si>
    <t>Examples: - Pediatric Dentistry/Pedodontics (Cert.), - Pediatric Dentistry/Pedodontics (MS), - Pediatric Dentistry/Pedodontics (PhD)</t>
  </si>
  <si>
    <t>Periodontics/Periodontology.</t>
  </si>
  <si>
    <t>A program that focuses on the advanced study of the etiology and treatment of diseases of the gingivae (gum tissue) and supporting bone, nerve, and vascular structures.  Includes instruction in periodontium pathology, diagnostic procedures and equipment, occulsion, nutritional aspects of periodontology, surgical treatments, and patient care and management.</t>
  </si>
  <si>
    <t>Examples: - Periodontics/Periodontology (Cert.), - Periodontics/Periodontology (MS), - Periodontics/Periodontology (PhD)</t>
  </si>
  <si>
    <t>Prosthodontics/Prosthodontology.</t>
  </si>
  <si>
    <t>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t>
  </si>
  <si>
    <t>Examples: - Prosthodontics/Prosthodontology (Cert.), - Prosthodontics/Prosthodontology (MS), - Prosthodontics/Prosthodontology (PhD)</t>
  </si>
  <si>
    <t>Digital Dentistry.</t>
  </si>
  <si>
    <t>A program that focuses on the use of digital and CAD/CAM technology in dental treatment. Includes instruction in digital diagnostic and treatment planning techniques, CAD/CAM restoration, and patient management.</t>
  </si>
  <si>
    <t>Geriatric Dentistry.</t>
  </si>
  <si>
    <t>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t>
  </si>
  <si>
    <t>Implantology/Implant Dentistry.</t>
  </si>
  <si>
    <t>A program that focuses on dental implantology. Includes instruction in diagnosis and treatment planning, surgical protocols, implant placement, sinus grafting, guided bone regeneration, soft tissue grafting, prosthetic protocols, prosthesis design, and aftercare.</t>
  </si>
  <si>
    <t>Advanced/Graduate Dentistry and Oral Sciences, Other.</t>
  </si>
  <si>
    <t>Any instructional program in advanced/graduate dentistry and oral sciences not listed above.</t>
  </si>
  <si>
    <t>Dental Support Services and Allied Professions.</t>
  </si>
  <si>
    <t>Instructional content for this group of programs is defined in codes 51.0601 - 51.0699.</t>
  </si>
  <si>
    <t>Dental Assisting/Assistant.</t>
  </si>
  <si>
    <t>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t>
  </si>
  <si>
    <t>Dental Hygiene/Hygienist.</t>
  </si>
  <si>
    <t>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t>
  </si>
  <si>
    <t>Dental Laboratory Technology/Technician.</t>
  </si>
  <si>
    <t>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t>
  </si>
  <si>
    <t>Dental Services and Allied Professions, Other.</t>
  </si>
  <si>
    <t>Any instructional program in dental services and allied professions not listed above.</t>
  </si>
  <si>
    <t>Health and Medical Administrative Services.</t>
  </si>
  <si>
    <t>Instructional content for this group of programs is defined in codes 51.0701 - 51.0799.</t>
  </si>
  <si>
    <t>Health/Health Care Administration/Management.</t>
  </si>
  <si>
    <t>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t>
  </si>
  <si>
    <t>Hospital and Health Care Facilities Administration/Management.</t>
  </si>
  <si>
    <t>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t>
  </si>
  <si>
    <t>Health Unit Coordinator/Ward Clerk.</t>
  </si>
  <si>
    <t>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t>
  </si>
  <si>
    <t>Health Unit Manager/Ward Supervisor.</t>
  </si>
  <si>
    <t>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t>
  </si>
  <si>
    <t>Medical Office Management/Administration.</t>
  </si>
  <si>
    <t>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t>
  </si>
  <si>
    <t>Health Information/Medical Records Administration/Administrator.</t>
  </si>
  <si>
    <t>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t>
  </si>
  <si>
    <t>Health Information/Medical Records Technology/Technician.</t>
  </si>
  <si>
    <t>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t>
  </si>
  <si>
    <t>Medical Transcription/Transcriptionist.</t>
  </si>
  <si>
    <t>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t>
  </si>
  <si>
    <t>22.0303 - Court Reporting and Captioning/Court Reporter., 10.0204 - Voice Writing Technology/Technician.</t>
  </si>
  <si>
    <t>Medical Office Computer Specialist/Assistant.</t>
  </si>
  <si>
    <t>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t>
  </si>
  <si>
    <t>Medical Office Assistant/Specialist.</t>
  </si>
  <si>
    <t>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t>
  </si>
  <si>
    <t>Medical/Health Management and Clinical Assistant/Specialist.</t>
  </si>
  <si>
    <t>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t>
  </si>
  <si>
    <t>Medical Reception/Receptionist.</t>
  </si>
  <si>
    <t>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t>
  </si>
  <si>
    <t>Medical Insurance Coding Specialist/Coder.</t>
  </si>
  <si>
    <t>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t>
  </si>
  <si>
    <t>Medical Insurance Specialist/Medical Biller.</t>
  </si>
  <si>
    <t>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t>
  </si>
  <si>
    <t>Health/Medical Claims Examiner.</t>
  </si>
  <si>
    <t>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t>
  </si>
  <si>
    <t>Medical Administrative/Executive Assistant and Medical Secretary.</t>
  </si>
  <si>
    <t>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t>
  </si>
  <si>
    <t>Examples: - Dental Secretary</t>
  </si>
  <si>
    <t>Medical Staff Services Technology/Technician.</t>
  </si>
  <si>
    <t>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t>
  </si>
  <si>
    <t>Long Term Care Administration/Management.</t>
  </si>
  <si>
    <t>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t>
  </si>
  <si>
    <t>Examples: - Aging Services Management</t>
  </si>
  <si>
    <t>Clinical Research Coordinator.</t>
  </si>
  <si>
    <t>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t>
  </si>
  <si>
    <t>51.1005 - Clinical Laboratory Science/Medical Technology/Technologist.</t>
  </si>
  <si>
    <t>Examples: - Clinical Research Trial Coordination, - Clinical Trials Research, - Clinical Trials Management</t>
  </si>
  <si>
    <t>Regulatory Science/Affairs.</t>
  </si>
  <si>
    <t>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t>
  </si>
  <si>
    <t>52.0214 - Research Administration.</t>
  </si>
  <si>
    <t>Disease Registry Data Management.</t>
  </si>
  <si>
    <t>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t>
  </si>
  <si>
    <t>Examples: - Cancer Data Management</t>
  </si>
  <si>
    <t>Healthcare Innovation.</t>
  </si>
  <si>
    <t>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t>
  </si>
  <si>
    <t>Healthcare Information Privacy Assurance and Security.</t>
  </si>
  <si>
    <t>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t>
  </si>
  <si>
    <t>Examples: - Information Governance in Healthcare</t>
  </si>
  <si>
    <t>Health and Medical Administrative Services, Other.</t>
  </si>
  <si>
    <t>Any instructional program in health and medical administrative services not listed above.</t>
  </si>
  <si>
    <t>Allied Health and Medical Assisting Services.</t>
  </si>
  <si>
    <t>Instructional content for this group of programs is defined in codes 51.0801 - 51.0899.</t>
  </si>
  <si>
    <t>Medical/Clinical Assistant.</t>
  </si>
  <si>
    <t>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t>
  </si>
  <si>
    <t>Clinical/Medical Laboratory Assistant.</t>
  </si>
  <si>
    <t>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t>
  </si>
  <si>
    <t>Occupational Therapist Assistant.</t>
  </si>
  <si>
    <t>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t>
  </si>
  <si>
    <t>Pharmacy Technician/Assistant.</t>
  </si>
  <si>
    <t>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t>
  </si>
  <si>
    <t>Physical Therapy Assistant.</t>
  </si>
  <si>
    <t>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t>
  </si>
  <si>
    <t>Moved from 51.0808 to 01.8301</t>
  </si>
  <si>
    <t>Anesthesiologist Assistant.</t>
  </si>
  <si>
    <t>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t>
  </si>
  <si>
    <t>Emergency Care Attendant (EMT Ambulance).</t>
  </si>
  <si>
    <t>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t>
  </si>
  <si>
    <t>51.0904 - Emergency Medical Technology/Technician (EMT Paramedic).</t>
  </si>
  <si>
    <t>Pathology/Pathologist Assistant.</t>
  </si>
  <si>
    <t>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t>
  </si>
  <si>
    <t>Respiratory Therapy Technician/Assistant.</t>
  </si>
  <si>
    <t>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t>
  </si>
  <si>
    <t>Chiropractic Technician/Assistant.</t>
  </si>
  <si>
    <t>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t>
  </si>
  <si>
    <t>Radiologist Assistant.</t>
  </si>
  <si>
    <t>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t>
  </si>
  <si>
    <t>Lactation Consultant.</t>
  </si>
  <si>
    <t>A program that prepares individuals to provide lactation management services and breastfeeding support to women, and to work as a Lactation Consultant in a variety of clinical settings. Includes instruction in anatomy and physiology of lactation, nutrition, breastfeeding techniques and technologies, common concerns and solutions, management of special situations, breastfeeding instruction, professional and legal concerns, and advocacy.</t>
  </si>
  <si>
    <t>Examples: - Lactation Education, - Lactation Counselor, - Lactation Management</t>
  </si>
  <si>
    <t>Speech-Language Pathology Assistant.</t>
  </si>
  <si>
    <t>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t>
  </si>
  <si>
    <t>13.1012 - Education/Teaching of Individuals with Speech or Language Impairments., 51.0203 - Speech-Language Pathology/Pathologist., 51.0204 - Audiology/Audiologist and Speech-Language Pathology/Pathologist.</t>
  </si>
  <si>
    <t>Allied Health and Medical Assisting Services, Other.</t>
  </si>
  <si>
    <t>Any instructional program in allied health and medical assisting services not listed above.</t>
  </si>
  <si>
    <t>Allied Health Diagnostic, Intervention, and Treatment Professions.</t>
  </si>
  <si>
    <t>Instructional content for this group of programs is defined in codes 51.0901 - 51.0999.</t>
  </si>
  <si>
    <t>Cardiovascular Technology/Technologist.</t>
  </si>
  <si>
    <t>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t>
  </si>
  <si>
    <t>Electrocardiograph Technology/Technician.</t>
  </si>
  <si>
    <t>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t>
  </si>
  <si>
    <t>Electroneurodiagnostic/Electroencephalographic Technology/Technologist.</t>
  </si>
  <si>
    <t>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t>
  </si>
  <si>
    <t>Emergency Medical Technology/Technician (EMT Paramedic).</t>
  </si>
  <si>
    <t>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t>
  </si>
  <si>
    <t>51.0810 - Emergency Care Attendant (EMT Ambulance).</t>
  </si>
  <si>
    <t>Nuclear Medical Technology/Technologist.</t>
  </si>
  <si>
    <t>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t>
  </si>
  <si>
    <t>Perfusion Technology/Perfusionist.</t>
  </si>
  <si>
    <t>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t>
  </si>
  <si>
    <t>Medical Radiologic Technology/Science - Radiation Therapist.</t>
  </si>
  <si>
    <t>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t>
  </si>
  <si>
    <t>Respiratory Care Therapy/Therapist.</t>
  </si>
  <si>
    <t>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t>
  </si>
  <si>
    <t>Surgical Technology/Technologist.</t>
  </si>
  <si>
    <t>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t>
  </si>
  <si>
    <t>51.1012 - Sterile Processing Technology/Technician.</t>
  </si>
  <si>
    <t>Diagnostic Medical Sonography/Sonographer and Ultrasound Technician.</t>
  </si>
  <si>
    <t>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t>
  </si>
  <si>
    <t>Examples: - Vascular Sonography</t>
  </si>
  <si>
    <t>Radiologic Technology/Science - Radiographer.</t>
  </si>
  <si>
    <t>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t>
  </si>
  <si>
    <t>Physician Associate/Assistant.</t>
  </si>
  <si>
    <t>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t>
  </si>
  <si>
    <t>Athletic Training/Trainer.</t>
  </si>
  <si>
    <t>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t>
  </si>
  <si>
    <t>26.0908 - Exercise Physiology and Kinesiology., 31.0505 - Exercise Science and Kinesiology., 31.0507 - Physical Fitness Technician.</t>
  </si>
  <si>
    <t>Gene/Genetic Therapy.</t>
  </si>
  <si>
    <t>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t>
  </si>
  <si>
    <t>51.1509 - Genetic Counseling/Counselor., 26.0806 - Human/Medical Genetics.</t>
  </si>
  <si>
    <t>Cardiopulmonary Technology/Technologist.</t>
  </si>
  <si>
    <t>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t>
  </si>
  <si>
    <t>Radiation Protection/Health Physics Technician.</t>
  </si>
  <si>
    <t>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t>
  </si>
  <si>
    <t>Polysomnography.</t>
  </si>
  <si>
    <t>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t>
  </si>
  <si>
    <t>Examples: - Polysomnography, - Polysomnography/Sleep Technology</t>
  </si>
  <si>
    <t>Hearing Instrument Specialist.</t>
  </si>
  <si>
    <t>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t>
  </si>
  <si>
    <t>Examples: - Hearing Aid Technician</t>
  </si>
  <si>
    <t>Mammography Technology/Technician.</t>
  </si>
  <si>
    <t>A program that prepares registered radiographers to become registered mammographers. Includes instruction in anatomy and physiology, mammography instrumentation, mammography positioning, principles and procedures of mammography, and quality assurance.</t>
  </si>
  <si>
    <t>Examples: - Mammography, - Breast Imaging and Mammography</t>
  </si>
  <si>
    <t>Magnetic Resonance Imaging (MRI) Technology/Technician.</t>
  </si>
  <si>
    <t>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t>
  </si>
  <si>
    <t>Hyperbaric Medicine Technology/Technician.</t>
  </si>
  <si>
    <t>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t>
  </si>
  <si>
    <t>Intraoperative Neuromonitoring Technology/Technician.</t>
  </si>
  <si>
    <t>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t>
  </si>
  <si>
    <t>Orthopedic Technology/Technician.</t>
  </si>
  <si>
    <t>A program that prepares individuals, under the supervision of physicians, to cast, splint, and brace orthopedic injuries. Includes instruction in patient assessment; casting, splinting, and orthopedic appliances; radiographic interpretation; traction; and wound care.</t>
  </si>
  <si>
    <t>Allied Health Diagnostic, Intervention, and Treatment Professions, Other.</t>
  </si>
  <si>
    <t>Any instructional program in allied health diagnostic, intervention, and treatment professions not listed above.</t>
  </si>
  <si>
    <t>Clinical/Medical Laboratory Science/Research and Allied Professions.</t>
  </si>
  <si>
    <t>Instructional content for this group of programs is defined in codes 51.1001 - 51.1099.</t>
  </si>
  <si>
    <t>Blood Bank Technology Specialist.</t>
  </si>
  <si>
    <t>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t>
  </si>
  <si>
    <t>Cytotechnology/Cytotechnologist.</t>
  </si>
  <si>
    <t>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t>
  </si>
  <si>
    <t>Hematology Technology/Technician.</t>
  </si>
  <si>
    <t>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t>
  </si>
  <si>
    <t>Clinical/Medical Laboratory Technician.</t>
  </si>
  <si>
    <t>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t>
  </si>
  <si>
    <t>41.0101 - Biology/Biotechnology Technology/Technician., 51.0802 - Clinical/Medical Laboratory Assistant.</t>
  </si>
  <si>
    <t>Clinical Laboratory Science/Medical Technology/Technologist.</t>
  </si>
  <si>
    <t>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t>
  </si>
  <si>
    <t>51.0719 - Clinical Research Coordinator.</t>
  </si>
  <si>
    <t>Ophthalmic Laboratory Technology/Technician.</t>
  </si>
  <si>
    <t>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t>
  </si>
  <si>
    <t>Histologic Technology/Histotechnologist.</t>
  </si>
  <si>
    <t>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t>
  </si>
  <si>
    <t>Histologic Technician.</t>
  </si>
  <si>
    <t>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t>
  </si>
  <si>
    <t>Phlebotomy Technician/Phlebotomist.</t>
  </si>
  <si>
    <t>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t>
  </si>
  <si>
    <t>Cytogenetics/Genetics/Clinical Genetics Technology/Technologist.</t>
  </si>
  <si>
    <t>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t>
  </si>
  <si>
    <t>26.0806 - Human/Medical Genetics.</t>
  </si>
  <si>
    <t>Renal/Dialysis Technologist/Technician.</t>
  </si>
  <si>
    <t>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t>
  </si>
  <si>
    <t>Sterile Processing Technology/Technician.</t>
  </si>
  <si>
    <t>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t>
  </si>
  <si>
    <t>51.0909 - Surgical Technology/Technologist.</t>
  </si>
  <si>
    <t>Clinical/Medical Laboratory Science and Allied Professions, Other.</t>
  </si>
  <si>
    <t>Any instructional program in clinical/medical laboratory science and allied professions not listed above.</t>
  </si>
  <si>
    <t>Examples: - Pharmaceutical Technician</t>
  </si>
  <si>
    <t>Health/Medical Preparatory Programs.</t>
  </si>
  <si>
    <t>Instructional content for this group of programs is defined in codes 51.1101 - 51.1199.</t>
  </si>
  <si>
    <t>Pre-Dentistry Studies.</t>
  </si>
  <si>
    <t>A program that prepares individuals for admission to a professional program in dentistry.</t>
  </si>
  <si>
    <t>Pre-Medicine/Pre-Medical Studies.</t>
  </si>
  <si>
    <t>A program that prepares individuals for admission to a professional program in medicine, osteopathic medicine, or podiatric medicine.</t>
  </si>
  <si>
    <t>Pre-Pharmacy Studies.</t>
  </si>
  <si>
    <t>A program that prepares individuals for admission to a professional program in pharmacy.</t>
  </si>
  <si>
    <t>Moved from 51.1104 to 01.1302</t>
  </si>
  <si>
    <t>Pre-Nursing Studies.</t>
  </si>
  <si>
    <t>A program that prepares individuals for admission to a professional program in Nursing.</t>
  </si>
  <si>
    <t>Pre-Chiropractic Studies.</t>
  </si>
  <si>
    <t>A program that prepares individuals for admission to a professional program in chiropractic medicine.</t>
  </si>
  <si>
    <t>Pre-Occupational Therapy Studies.</t>
  </si>
  <si>
    <t>A program that prepares individuals for admission to a professional program in occupational therapy.</t>
  </si>
  <si>
    <t>Pre-Optometry Studies.</t>
  </si>
  <si>
    <t>A program that prepares individuals for admission to a professional program in optometry.</t>
  </si>
  <si>
    <t>Pre-Physical Therapy Studies.</t>
  </si>
  <si>
    <t>A program that prepares individuals for admission to a professional program in physical therapy.</t>
  </si>
  <si>
    <t>Pre-Art Therapy.</t>
  </si>
  <si>
    <t>A program that prepares individuals for admission to a professional art therapy program.</t>
  </si>
  <si>
    <t>Pre-Physician Assistant.</t>
  </si>
  <si>
    <t>A program that prepares individuals for admission to a professional physician assistant program.</t>
  </si>
  <si>
    <t>Health/Medical Preparatory Programs, Other.</t>
  </si>
  <si>
    <t>Any instructional program in health and medical professional preparation not listed above.</t>
  </si>
  <si>
    <t>01.1302 - Pre-Veterinary Studies.</t>
  </si>
  <si>
    <t>Medicine.</t>
  </si>
  <si>
    <t>Instructional content for this group of programs is defined in codes 51.1201 - 51.1299.</t>
  </si>
  <si>
    <t>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t>
  </si>
  <si>
    <t>Examples: - Medicine (MD), - Allopathic Medicine</t>
  </si>
  <si>
    <t>Osteopathic Medicine/Osteopathy.</t>
  </si>
  <si>
    <t>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t>
  </si>
  <si>
    <t>Examples: - Osteopathy, - Osteopathic Medicine (DO)</t>
  </si>
  <si>
    <t>Podiatric Medicine/Podiatry.</t>
  </si>
  <si>
    <t>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t>
  </si>
  <si>
    <t>Examples: - Podiatric Medicine/Podiatry (DPM)</t>
  </si>
  <si>
    <t>Medicine, Other.</t>
  </si>
  <si>
    <t>Any program in medicine not listed above.</t>
  </si>
  <si>
    <t>Medical Clinical Sciences/Graduate Medical Studies.</t>
  </si>
  <si>
    <t>Instructional content for this group of programs is defined in codes 51.1401 - 51.1499.</t>
  </si>
  <si>
    <t>Medical Science/Scientist.</t>
  </si>
  <si>
    <t>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t>
  </si>
  <si>
    <t>Examples: - Medical Scientist (MS), - Medical Scientist (PhD)</t>
  </si>
  <si>
    <t>Clinical and Translational Science.</t>
  </si>
  <si>
    <t>A program of study that prepares clinicians to direct a broad range of scientific or clinical or translational studies, translate scientific knowledge into clinical practice, and bridge clinical science with laboratory investigations. Includes instruction in bioinformatics, Information technology, biostatistics, epidemiology, grant writing, management and analysis of clinical data, clinical and translational research law and policy, responsible conduct of research, and scientific writing.</t>
  </si>
  <si>
    <t>Pain Management.</t>
  </si>
  <si>
    <t>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t>
  </si>
  <si>
    <t>61.0210 - Pain Medicine Fellowship Program.</t>
  </si>
  <si>
    <t>Temporomandibular Disorders and Orofacial Pain.</t>
  </si>
  <si>
    <t>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t>
  </si>
  <si>
    <t>Tropical Medicine.</t>
  </si>
  <si>
    <t>A program that prepares clinicians to prevent and control vector-borne and tropical infectious diseases. Includes instruction in microbiology, parasitology, mycology, virology, vector biology, vaccinology, laboratory diagnosis, travelers' health, epidemiology, and disease management.</t>
  </si>
  <si>
    <t>Examples: - Diploma in Tropical Medicine, - Diploma in Tropical Medicine and Public Health, - Master of Tropical Medicine (MTM), - Clinical Tropical Medicine and Travelers' Health, - Graduate Certificate in Tropical Medicine, - Tropical Medicine and Global Health</t>
  </si>
  <si>
    <t>Medical Clinical Sciences/Graduate Medical Studies, Other.</t>
  </si>
  <si>
    <t>Any program in medical clinical sciences or graduate medical studies not listed above.</t>
  </si>
  <si>
    <t>Mental and Social Health Services and Allied Professions.</t>
  </si>
  <si>
    <t>Instructional content for this group of programs is defined in codes 51.1501 - 51.1599.</t>
  </si>
  <si>
    <t>Substance Abuse/Addiction Counseling.</t>
  </si>
  <si>
    <t>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t>
  </si>
  <si>
    <t>Psychiatric/Mental Health Services Technician.</t>
  </si>
  <si>
    <t>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t>
  </si>
  <si>
    <t>Clinical/Medical Social Work.</t>
  </si>
  <si>
    <t>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t>
  </si>
  <si>
    <t>44.0701 - Social Work.</t>
  </si>
  <si>
    <t>Community Health Services/Liaison/Counseling.</t>
  </si>
  <si>
    <t>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t>
  </si>
  <si>
    <t>Examples: - Community Health Education</t>
  </si>
  <si>
    <t>Marriage and Family Therapy/Counseling.</t>
  </si>
  <si>
    <t>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t>
  </si>
  <si>
    <t>42.2811 - Family Psychology., 19.0704 - Family Systems.</t>
  </si>
  <si>
    <t>Clinical Pastoral Counseling/Patient Counseling.</t>
  </si>
  <si>
    <t>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t>
  </si>
  <si>
    <t>39.0701 - Pastoral Studies/Counseling.</t>
  </si>
  <si>
    <t>Psychoanalysis and Psychotherapy.</t>
  </si>
  <si>
    <t>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t>
  </si>
  <si>
    <t>Mental Health Counseling/Counselor.</t>
  </si>
  <si>
    <t>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t>
  </si>
  <si>
    <t>42.2803 - Counseling Psychology.</t>
  </si>
  <si>
    <t>Genetic Counseling/Counselor.</t>
  </si>
  <si>
    <t>A program that prepares individuals to counsel patients and families concerning inherited genetic disorders and diseases;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t>
  </si>
  <si>
    <t>51.0914 - Gene/Genetic Therapy., 26.0806 - Human/Medical Genetics.</t>
  </si>
  <si>
    <t>Infant/Toddler Mental Health Services.</t>
  </si>
  <si>
    <t>A program that prepares individuals to provide mental health services to infants, toddlers, and preschoolers and their families. Includes instruction in developmental psychology, cognitive and biological development, social and emotional development, research methods, and ethics.</t>
  </si>
  <si>
    <t>Medical Family Therapy/Therapist.</t>
  </si>
  <si>
    <t>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t>
  </si>
  <si>
    <t>Hospice and Palliative Care.</t>
  </si>
  <si>
    <t>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t>
  </si>
  <si>
    <t>Trauma Counseling.</t>
  </si>
  <si>
    <t>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t>
  </si>
  <si>
    <t>Mental and Social Health Services and Allied Professions, Other.</t>
  </si>
  <si>
    <t>Any instructional program in mental and social health services and allied professions not listed above.</t>
  </si>
  <si>
    <t>Optometry.</t>
  </si>
  <si>
    <t>Instructional content is defined in code 51.1701.</t>
  </si>
  <si>
    <t>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t>
  </si>
  <si>
    <t>Examples: - Optometry (OD)</t>
  </si>
  <si>
    <t>Ophthalmic and Optometric Support Services and Allied Professions.</t>
  </si>
  <si>
    <t>Instructional content for this group of programs is defined in codes 51.1801 - 51.1899.</t>
  </si>
  <si>
    <t>Opticianry/Ophthalmic Dispensing Optician.</t>
  </si>
  <si>
    <t>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t>
  </si>
  <si>
    <t>Optometric Technician/Assistant.</t>
  </si>
  <si>
    <t>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t>
  </si>
  <si>
    <t>Ophthalmic Technician/Technologist.</t>
  </si>
  <si>
    <t>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t>
  </si>
  <si>
    <t>Orthoptics/Orthoptist.</t>
  </si>
  <si>
    <t>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t>
  </si>
  <si>
    <t>Ophthalmic and Optometric Support Services and Allied Professions, Other.</t>
  </si>
  <si>
    <t>Any instructional program in ophthalmic and optometric support services and allied professions not listed above.</t>
  </si>
  <si>
    <t>Deleted, Report under 51.1202</t>
  </si>
  <si>
    <t>Moved from 51.1901 to 51.1202</t>
  </si>
  <si>
    <t>Pharmacy, Pharmaceutical Sciences, and Administration.</t>
  </si>
  <si>
    <t>Instructional content for this group of programs is defined in codes 51.2001 - 51.2099.</t>
  </si>
  <si>
    <t>Pharmacy.</t>
  </si>
  <si>
    <t>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t>
  </si>
  <si>
    <t>Examples: - Pharmacy (BS, BPharm - Canada), - Pharmacy (PharmD - USA and Canada)</t>
  </si>
  <si>
    <t>Pharmacy Administration and Pharmacy Policy and Regulatory Affairs.</t>
  </si>
  <si>
    <t>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t>
  </si>
  <si>
    <t>Examples: - Pharmacy Administration, - Drug Regulatory Affairs, - Drug Regulatory and Quality Compliance, - Pharmacy Quality Assurance and Regulatory Affairs</t>
  </si>
  <si>
    <t>Pharmaceutics and Drug Design.</t>
  </si>
  <si>
    <t>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t>
  </si>
  <si>
    <t>26.1001 - Pharmacology.</t>
  </si>
  <si>
    <t>Examples: - Pharmaceutics and Drug Design (MS), - Pharmaceutics and Drug Design (PhD)</t>
  </si>
  <si>
    <t>Medicinal and Pharmaceutical Chemistry.</t>
  </si>
  <si>
    <t>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t>
  </si>
  <si>
    <t>Examples: - Medicinal and Pharmaceutical Chemistry (MS), - Medicinal and Pharmaceutical Chemistry (PhD)</t>
  </si>
  <si>
    <t>Natural Products Chemistry and Pharmacognosy.</t>
  </si>
  <si>
    <t>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t>
  </si>
  <si>
    <t>Examples: - Natural Products Chemistry and Pharmacognosy (MS), - Natural Products Chemistry and Pharmacognosy (PhD)</t>
  </si>
  <si>
    <t>Clinical and Industrial Drug Development.</t>
  </si>
  <si>
    <t>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t>
  </si>
  <si>
    <t>Examples: - Clinical and Industrial Drug Development (MS), - Clinical and Industrial Drug Development (PhD)</t>
  </si>
  <si>
    <t>Pharmacoeconomics/Pharmaceutical Economics.</t>
  </si>
  <si>
    <t>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t>
  </si>
  <si>
    <t>Examples: - Pharmacoeconomics/Pharmaceutical Economics (MS), - Pharmacoeconomics/Pharmaceutical Economics (PhD)</t>
  </si>
  <si>
    <t>Clinical, Hospital, and Managed Care Pharmacy.</t>
  </si>
  <si>
    <t>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t>
  </si>
  <si>
    <t>Examples: - Clinical, Hospital, and Managed Care Pharmacy (MS), - Clinical, Hospital, and Managed Care Pharmacy (PhD)</t>
  </si>
  <si>
    <t>Industrial and Physical Pharmacy and Cosmetic Sciences.</t>
  </si>
  <si>
    <t>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t>
  </si>
  <si>
    <t>Examples: - Industrial and Physical Pharmacy and Cosmetic Sciences (MS), - Industrial and Physical Pharmacy and Cosmetic Sciences (PhD)</t>
  </si>
  <si>
    <t>Pharmaceutical Sciences.</t>
  </si>
  <si>
    <t>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t>
  </si>
  <si>
    <t>Pharmaceutical Marketing and Management.</t>
  </si>
  <si>
    <t>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t>
  </si>
  <si>
    <t>Examples: - Pharmaceutical Marketing</t>
  </si>
  <si>
    <t>Pharmacy, Pharmaceutical Sciences, and Administration, Other.</t>
  </si>
  <si>
    <t>Any instructional program in pharmacy, pharmaceutical sciences, and administration not listed above.</t>
  </si>
  <si>
    <t>Deleted, Report under 51.1203</t>
  </si>
  <si>
    <t>Moved from 51.2101 to 51.1203</t>
  </si>
  <si>
    <t>Public Health.</t>
  </si>
  <si>
    <t>Instructional content for this group of programs is defined in codes 51.2201 - 51.2299.</t>
  </si>
  <si>
    <t>Public Health, General.</t>
  </si>
  <si>
    <t>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</si>
  <si>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26.1309 - Epidemiology., 44.0503 - Health Policy Analysis.</t>
  </si>
  <si>
    <t>Examples: - Public Health, General (MPH), - Public Health, General (DPH)</t>
  </si>
  <si>
    <t>Environmental Health.</t>
  </si>
  <si>
    <t>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t>
  </si>
  <si>
    <t>Health/Medical  Physics.</t>
  </si>
  <si>
    <t>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t>
  </si>
  <si>
    <t>26.0203 - Biophysics.</t>
  </si>
  <si>
    <t>Examples: - Biomedical Physics</t>
  </si>
  <si>
    <t>Occupational Health and Industrial Hygiene.</t>
  </si>
  <si>
    <t>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t>
  </si>
  <si>
    <t>Examples: - Industrial Hygiene</t>
  </si>
  <si>
    <t>Public Health Education and Promotion.</t>
  </si>
  <si>
    <t>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t>
  </si>
  <si>
    <t>Community Health and Preventive Medicine.</t>
  </si>
  <si>
    <t>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t>
  </si>
  <si>
    <t>Maternal and Child Health.</t>
  </si>
  <si>
    <t>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t>
  </si>
  <si>
    <t>International Public Health/International Health.</t>
  </si>
  <si>
    <t>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t>
  </si>
  <si>
    <t>26.0509 - Infectious Disease and Global Health.</t>
  </si>
  <si>
    <t>Examples: - Global Health</t>
  </si>
  <si>
    <t>Health Services Administration.</t>
  </si>
  <si>
    <t>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t>
  </si>
  <si>
    <t>Behavioral Aspects of Health.</t>
  </si>
  <si>
    <t>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t>
  </si>
  <si>
    <t>Examples: - Behavioral Health, - Biobehavioral Health, - Health and Social Behavior, - Health Behavior</t>
  </si>
  <si>
    <t>Patient Safety and Healthcare Quality.</t>
  </si>
  <si>
    <t>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t>
  </si>
  <si>
    <t>Public Health Genetics.</t>
  </si>
  <si>
    <t>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t>
  </si>
  <si>
    <t>Public Health, Other.</t>
  </si>
  <si>
    <t>Any instructional program in public health not listed above.</t>
  </si>
  <si>
    <t>51.0504 - Dental Public Health and Education., 26.1309 - Epidemiology., 44.0503 - Health Policy Analysis.</t>
  </si>
  <si>
    <t>Rehabilitation and Therapeutic Professions.</t>
  </si>
  <si>
    <t>Instructional content for this group of programs is defined in codes 51.2300 - 51.2399.</t>
  </si>
  <si>
    <t>Rehabilitation and Therapeutic Professions, General.</t>
  </si>
  <si>
    <t>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t>
  </si>
  <si>
    <t>Art Therapy/Therapist.</t>
  </si>
  <si>
    <t>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t>
  </si>
  <si>
    <t>Dance Therapy/Therapist.</t>
  </si>
  <si>
    <t>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t>
  </si>
  <si>
    <t>51.3601 - Movement Therapy and Movement Education.</t>
  </si>
  <si>
    <t>Music Therapy/Therapist.</t>
  </si>
  <si>
    <t>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t>
  </si>
  <si>
    <t>Occupational Therapy/Therapist.</t>
  </si>
  <si>
    <t>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t>
  </si>
  <si>
    <t>Orthotist/Prosthetist.</t>
  </si>
  <si>
    <t>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t>
  </si>
  <si>
    <t>Physical Therapy/Therapist.</t>
  </si>
  <si>
    <t>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t>
  </si>
  <si>
    <t>Examples: - Doctor of Physical Therapy (DPT)</t>
  </si>
  <si>
    <t>Therapeutic Recreation/Recreational Therapy.</t>
  </si>
  <si>
    <t>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t>
  </si>
  <si>
    <t>Vocational Rehabilitation Counseling/Counselor.</t>
  </si>
  <si>
    <t>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t>
  </si>
  <si>
    <t>Examples: - Rehabilitation Counseling, - Rehabilitation Services</t>
  </si>
  <si>
    <t>Kinesiotherapy/Kinesiotherapist.</t>
  </si>
  <si>
    <t>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t>
  </si>
  <si>
    <t>31.0505 - Exercise Science and Kinesiology.</t>
  </si>
  <si>
    <t>Assistive/Augmentative Technology and Rehabilitation Engineering.</t>
  </si>
  <si>
    <t>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t>
  </si>
  <si>
    <t>Animal-Assisted Therapy.</t>
  </si>
  <si>
    <t>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t>
  </si>
  <si>
    <t>Examples: - Equine-Assisted Therapy</t>
  </si>
  <si>
    <t>Rehabilitation Science.</t>
  </si>
  <si>
    <t>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t>
  </si>
  <si>
    <t>Drama Therapy/Therapist.</t>
  </si>
  <si>
    <t>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t>
  </si>
  <si>
    <t>50.0599 - Dramatic/Theatre Arts and Stagecraft, Other.</t>
  </si>
  <si>
    <t>Horticulture Therapy/Therapist.</t>
  </si>
  <si>
    <t>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t>
  </si>
  <si>
    <t>Play Therapy/Therapist.</t>
  </si>
  <si>
    <t>A program that prepares individuals to be a Registered Play Therapist (RPT) or a School Based-Registered Play Therapist (SB-RPT). Includes instruction in child development, theories of personality, psychotherapy, child and adolescent psychopathology, and ethics.</t>
  </si>
  <si>
    <t>Rehabilitation and Therapeutic Professions, Other.</t>
  </si>
  <si>
    <t>Any instructional program in rehabilitation and therapeutic professions not listed above.</t>
  </si>
  <si>
    <t>Moved from 51.24 to 01.80</t>
  </si>
  <si>
    <t>Moved from 51.2401 to 01.8001</t>
  </si>
  <si>
    <t>Moved from 51.25 to 01.81</t>
  </si>
  <si>
    <t>Moved from 51.2501 to 01.8101</t>
  </si>
  <si>
    <t>Moved from 51.2502 to 01.8105</t>
  </si>
  <si>
    <t>Moved from 51.2503 to 01.8109</t>
  </si>
  <si>
    <t>Moved from 51.2504 to 01.8107</t>
  </si>
  <si>
    <t>Moved from 51.2505 to 01.8108</t>
  </si>
  <si>
    <t>Moved from 51.2506 to 01.8111</t>
  </si>
  <si>
    <t>Moved from 51.2507 to 01.8103</t>
  </si>
  <si>
    <t>Moved from 51.2508 to 01.8104</t>
  </si>
  <si>
    <t>Moved from 51.2509 to 01.8102</t>
  </si>
  <si>
    <t>Moved from 51.2510 to 01.8110</t>
  </si>
  <si>
    <t>Moved from 51.2511 to 01.8106</t>
  </si>
  <si>
    <t>Moved from 51.2599 to 01.8199</t>
  </si>
  <si>
    <t>Health Aides/Attendants/Orderlies.</t>
  </si>
  <si>
    <t>Instructional content for this group of programs is defined in codes 51.2601 - 51.2699.</t>
  </si>
  <si>
    <t>Health Aide.</t>
  </si>
  <si>
    <t>A program that prepares individuals to provide routine care and assistance to patients under the direct supervision of other health care professionals, and/or to perform routine maintenance and general assistance in health care facilities and laboratories.</t>
  </si>
  <si>
    <t>Home Health Aide/Home Attendant.</t>
  </si>
  <si>
    <t>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t>
  </si>
  <si>
    <t>Medication Aide.</t>
  </si>
  <si>
    <t>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t>
  </si>
  <si>
    <t>Rehabilitation Aide.</t>
  </si>
  <si>
    <t>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t>
  </si>
  <si>
    <t>Physical Therapy Technician/Aide.</t>
  </si>
  <si>
    <t>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t>
  </si>
  <si>
    <t>Health Aides/Attendants/Orderlies, Other.</t>
  </si>
  <si>
    <t>Any other instructional program that prepares individuals to provide routine patient care and assistance.</t>
  </si>
  <si>
    <t>Medical Illustration and Informatics.</t>
  </si>
  <si>
    <t>Instructional content for this group of programs is defined in codes 51.2703 - 51.2799.</t>
  </si>
  <si>
    <t>Medical Illustration/Medical Illustrator.</t>
  </si>
  <si>
    <t>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t>
  </si>
  <si>
    <t>Medical Informatics.</t>
  </si>
  <si>
    <t>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t>
  </si>
  <si>
    <t>26.1103 - Bioinformatics., 11.0104 - Informatics.</t>
  </si>
  <si>
    <t>Examples: - Biomedical Informatics, - Health Informatics, - Dental Informatics, - Nursing Informatics</t>
  </si>
  <si>
    <t>Medical Illustration and Informatics, Other.</t>
  </si>
  <si>
    <t>Any instructional program in medical illustration and informatics not listed above.</t>
  </si>
  <si>
    <t>Dietetics and Clinical Nutrition Services.</t>
  </si>
  <si>
    <t>Instructional content for this group of programs is defined in codes 51.3101 - 51.3199.</t>
  </si>
  <si>
    <t>Dietetics/Dietitian.</t>
  </si>
  <si>
    <t>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t>
  </si>
  <si>
    <t>Examples: - Dietetics/Dietitian (RD), - Registered Dietitian (RD)</t>
  </si>
  <si>
    <t>Clinical Nutrition/Nutritionist.</t>
  </si>
  <si>
    <t>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t>
  </si>
  <si>
    <t>19.0504 - Human Nutrition., 30.1901 - Nutrition Sciences.</t>
  </si>
  <si>
    <t>Dietetic Technician.</t>
  </si>
  <si>
    <t>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t>
  </si>
  <si>
    <t>Examples: - Dietetic Technician (DTR), - Registered Dietetic Technician (DTR)</t>
  </si>
  <si>
    <t>Dietitian Assistant.</t>
  </si>
  <si>
    <t>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t>
  </si>
  <si>
    <t>Dietetics and Clinical Nutrition Services, Other.</t>
  </si>
  <si>
    <t>Any instructional program in dietetics and clinical nutrition services not listed above.</t>
  </si>
  <si>
    <t>Health Professions Education, Ethics, and Humanities.</t>
  </si>
  <si>
    <t>Instructional content for this group of programs is defined in codes 51.3201 - 51.3299.</t>
  </si>
  <si>
    <t>Bioethics/Medical Ethics.</t>
  </si>
  <si>
    <t>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t>
  </si>
  <si>
    <t>38.0104 - Applied and Professional Ethics.</t>
  </si>
  <si>
    <t>Health Professions Education.</t>
  </si>
  <si>
    <t>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t>
  </si>
  <si>
    <t>61.0207 - Medical Education Fellowship Program.</t>
  </si>
  <si>
    <t>Examples: - Teaching Certificate for Pharmacists, - Medical Education Teaching</t>
  </si>
  <si>
    <t>Nursing Education.</t>
  </si>
  <si>
    <t>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t>
  </si>
  <si>
    <t>Medical/Health Humanities.</t>
  </si>
  <si>
    <t>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t>
  </si>
  <si>
    <t>Examples: - Narrative Medicine</t>
  </si>
  <si>
    <t>History of Medicine.</t>
  </si>
  <si>
    <t>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t>
  </si>
  <si>
    <t>54.0104 - History and Philosophy of Science and Technology., 30.1501 - Science, Technology and Society.</t>
  </si>
  <si>
    <t>Arts in Medicine/Health.</t>
  </si>
  <si>
    <t>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t>
  </si>
  <si>
    <t>Examples: - Theatre for Health, - Visual Arts in Medicine, - Dance in Medicine, - Music in Medicine, - Arts and Health, - Arts in Healthcare, - Arts in Public Health</t>
  </si>
  <si>
    <t>Health Professions Education, Ethics, and Humanities, Other.</t>
  </si>
  <si>
    <t>Any instructional program in health professions education, ethics, and humanities not listed above.</t>
  </si>
  <si>
    <t>54.0104 - History and Philosophy of Science and Technology., 30.1501 - Science, Technology and Society., 45.0203 - Medical Anthropology.</t>
  </si>
  <si>
    <t>Alternative and Complementary Medicine and Medical Systems.</t>
  </si>
  <si>
    <t>Instructional content for this group of programs is defined in codes 51.3300 - 51.3399.</t>
  </si>
  <si>
    <t>Alternative and Complementary Medicine and Medical Systems, General.</t>
  </si>
  <si>
    <t>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t>
  </si>
  <si>
    <t>Acupuncture and Oriental Medicine.</t>
  </si>
  <si>
    <t>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t>
  </si>
  <si>
    <t>Examples: - Acupuncture, - Acupuncture and Oriental Medicine, - Oriental Medicine</t>
  </si>
  <si>
    <t>Traditional Chinese Medicine and Chinese Herbology.</t>
  </si>
  <si>
    <t>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t>
  </si>
  <si>
    <t>Naturopathic Medicine/Naturopathy.</t>
  </si>
  <si>
    <t>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t>
  </si>
  <si>
    <t>Examples: - Naturopathic Medicine/Naturopathy (ND)</t>
  </si>
  <si>
    <t>Homeopathic Medicine/Homeopathy.</t>
  </si>
  <si>
    <t>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t>
  </si>
  <si>
    <t>Ayurvedic Medicine/Ayurveda.</t>
  </si>
  <si>
    <t>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t>
  </si>
  <si>
    <t>Holistic/Integrative Health.</t>
  </si>
  <si>
    <t>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t>
  </si>
  <si>
    <t>Alternative and Complementary Medicine and Medical Systems, Other.</t>
  </si>
  <si>
    <t>Any instructional program in alternative and complementary medicine and medical systems not listed above.</t>
  </si>
  <si>
    <t>Alternative and Complementary Medical Support Services.</t>
  </si>
  <si>
    <t>Instructional content for this group of programs is defined in codes 51.3401 - 51.3499.</t>
  </si>
  <si>
    <t>Direct Entry Midwifery.</t>
  </si>
  <si>
    <t>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t>
  </si>
  <si>
    <t>Examples: - Direct Entry Midwifery, - Licensed Midwife (LM), - Certified Professional Midwife (CPM)</t>
  </si>
  <si>
    <t>Alternative and Complementary Medical Support Services, Other.</t>
  </si>
  <si>
    <t>Any instructional program in alternative and complementary medical support services not listed above.</t>
  </si>
  <si>
    <t>Somatic Bodywork and Related Therapeutic Services.</t>
  </si>
  <si>
    <t>Instructional content for this group of programs is defined in codes 51.3501 - 51.3599.</t>
  </si>
  <si>
    <t>Massage Therapy/Therapeutic Massage.</t>
  </si>
  <si>
    <t>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t>
  </si>
  <si>
    <t>Asian Bodywork Therapy.</t>
  </si>
  <si>
    <t>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t>
  </si>
  <si>
    <t>Somatic Bodywork.</t>
  </si>
  <si>
    <t>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t>
  </si>
  <si>
    <t>Somatic Bodywork and Related Therapeutic Services, Other.</t>
  </si>
  <si>
    <t>Any instructional program in somatic bodywork and related therapeutic services not listed above.</t>
  </si>
  <si>
    <t>Movement and Mind-Body Therapies and Education.</t>
  </si>
  <si>
    <t>Instructional content for this group of programs is defined in codes 51.3601 - 51.3699.</t>
  </si>
  <si>
    <t>Movement Therapy and Movement Education.</t>
  </si>
  <si>
    <t>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t>
  </si>
  <si>
    <t>51.2302 - Dance Therapy/Therapist.</t>
  </si>
  <si>
    <t>Yoga Teacher Training/Yoga Therapy.</t>
  </si>
  <si>
    <t>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t>
  </si>
  <si>
    <t>Hypnotherapy/Hypnotherapist.</t>
  </si>
  <si>
    <t>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t>
  </si>
  <si>
    <t>Movement and Mind-Body Therapies and Education, Other.</t>
  </si>
  <si>
    <t>Any instructional program in movement and mind-body therapies not listed above.</t>
  </si>
  <si>
    <t>Energy and Biologically Based Therapies.</t>
  </si>
  <si>
    <t>Instructional content for this group of programs is defined in codes 51.3701 - 51.3799.</t>
  </si>
  <si>
    <t>Aromatherapy.</t>
  </si>
  <si>
    <t>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t>
  </si>
  <si>
    <t>Herbalism/Herbalist.</t>
  </si>
  <si>
    <t>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t>
  </si>
  <si>
    <t>Polarity Therapy.</t>
  </si>
  <si>
    <t>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t>
  </si>
  <si>
    <t>Reiki.</t>
  </si>
  <si>
    <t>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t>
  </si>
  <si>
    <t>Energy and Biologically Based Therapies, Other.</t>
  </si>
  <si>
    <t>Any instructional program in alternative, complementary, and somatic health and therapeutic services not listed above (bioenergetics, cranio-sacral therapy, Therapeutic Touch, Qi Gong, and others).</t>
  </si>
  <si>
    <t>Registered Nursing, Nursing Administration, Nursing Research and Clinical Nursing.</t>
  </si>
  <si>
    <t>Instructional content for this group of programs is defined in codes 51.3801 - 51.3899.</t>
  </si>
  <si>
    <t>Registered Nursing/Registered Nurse.</t>
  </si>
  <si>
    <t>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t>
  </si>
  <si>
    <t>Examples: - Nursing (ASN), - Nursing (BSN, BScN), - Nursing (MSN, MScN, MN), - Registered Nurse (RN)</t>
  </si>
  <si>
    <t>Nursing Administration.</t>
  </si>
  <si>
    <t>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t>
  </si>
  <si>
    <t>Examples: - Nursing Administration (PhD), - Nursing Administration (MSN, MScN, MS, MSc, MN)</t>
  </si>
  <si>
    <t>Adult Health Nurse/Nursing.</t>
  </si>
  <si>
    <t>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t>
  </si>
  <si>
    <t>Examples: - Adult Nurse Practitioner</t>
  </si>
  <si>
    <t>Nurse Anesthetist.</t>
  </si>
  <si>
    <t>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t>
  </si>
  <si>
    <t>Family Practice Nurse/Nursing.</t>
  </si>
  <si>
    <t>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t>
  </si>
  <si>
    <t>Examples: - Family Practice Nurse Practitioner, - Family Nurse Practitioner, - Primary Health Care Nurse Practitioner, - Primary Care Nurse Practitioner</t>
  </si>
  <si>
    <t>Maternal/Child Health and Neonatal Nurse/Nursing.</t>
  </si>
  <si>
    <t>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t>
  </si>
  <si>
    <t>Examples: - Neonatal Nurse Practitioner</t>
  </si>
  <si>
    <t>Nurse Midwife/Nursing Midwifery.</t>
  </si>
  <si>
    <t>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t>
  </si>
  <si>
    <t>Nursing Science.</t>
  </si>
  <si>
    <t>A research program that focuses on the study of advanced clinical practices, research methodologies, the administration of complex nursing services, and that prepares nurses to further the progress of nursing research through experimentation and clinical applications.</t>
  </si>
  <si>
    <t>Examples: - Nursing Science (PhD), - Nursing Science (MS, MSc, MSN, MN)</t>
  </si>
  <si>
    <t>Pediatric Nurse/Nursing.</t>
  </si>
  <si>
    <t>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t>
  </si>
  <si>
    <t>Examples: - Pediatric Nurse Practitioner</t>
  </si>
  <si>
    <t>Psychiatric/Mental Health Nurse/Nursing.</t>
  </si>
  <si>
    <t>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t>
  </si>
  <si>
    <t>Examples: - Psychiatric Nurse Practitioner</t>
  </si>
  <si>
    <t>Public Health/Community Nurse/Nursing.</t>
  </si>
  <si>
    <t>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t>
  </si>
  <si>
    <t>Perioperative/Operating Room and Surgical Nurse/Nursing.</t>
  </si>
  <si>
    <t>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t>
  </si>
  <si>
    <t>Clinical Nurse Specialist.</t>
  </si>
  <si>
    <t>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t>
  </si>
  <si>
    <t>Critical Care Nursing.</t>
  </si>
  <si>
    <t>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t>
  </si>
  <si>
    <t>Examples: - Acute Care Nursing, - Acute Care Nurse Practitioner</t>
  </si>
  <si>
    <t>Occupational and Environmental Health Nursing.</t>
  </si>
  <si>
    <t>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t>
  </si>
  <si>
    <t>Emergency Room/Trauma Nursing.</t>
  </si>
  <si>
    <t>A program that prepares registered nurses to deliver advanced, direct patient care in emergency and trauma settings. Includes instruction in advanced health assessment, pharmacology, physiology, emergency management, trauma conditions, trauma assessments and acute care.</t>
  </si>
  <si>
    <t>Examples: - Emergency Nursing, - Emergency Nurse Practitioner, - Trauma Nursing, - Trauma, Critical Care and Emergency Nursing</t>
  </si>
  <si>
    <t>Moved from 51.3817 to 51.3203</t>
  </si>
  <si>
    <t>Nursing Practice.</t>
  </si>
  <si>
    <t>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t>
  </si>
  <si>
    <t>Examples: - Nursing Practice (DNP)</t>
  </si>
  <si>
    <t>Palliative Care Nursing.</t>
  </si>
  <si>
    <t>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t>
  </si>
  <si>
    <t>Clinical Nurse Leader.</t>
  </si>
  <si>
    <t>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t>
  </si>
  <si>
    <t>Geriatric Nurse/Nursing.</t>
  </si>
  <si>
    <t>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t>
  </si>
  <si>
    <t>Examples: - Gerontological Nurse Practitioner</t>
  </si>
  <si>
    <t>Women's Health Nurse/Nursing.</t>
  </si>
  <si>
    <t>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t>
  </si>
  <si>
    <t>Examples: - Women's Health Nurse Practitioner</t>
  </si>
  <si>
    <t>Forensic Nursing.</t>
  </si>
  <si>
    <t>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t>
  </si>
  <si>
    <t>Registered Nursing, Nursing Administration, Nursing Research and Clinical Nursing, Other.</t>
  </si>
  <si>
    <t>Any instructional program in registered nursing, nursing administration, nursing research, and clinical nursing not listed above.</t>
  </si>
  <si>
    <t>Examples: - Cardiology Nurse Practitioner, - Nephrology Nurse Practitioner</t>
  </si>
  <si>
    <t>Practical Nursing, Vocational Nursing and Nursing Assistants.</t>
  </si>
  <si>
    <t>Instructional content for this group of programs is defined in codes 51.3901 - 51.3999.</t>
  </si>
  <si>
    <t>Licensed Practical/Vocational Nurse Training.</t>
  </si>
  <si>
    <t>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t>
  </si>
  <si>
    <t>Examples: - Licensed Practical Nurse (LPN), - Licensed Vocational Nurse (LVN), - Licensed Practical/Vocational Nurse Training (Cert.), - Licensed Practical/Vocational Nurse Training (Dipl), - Licensed Practical/Vocational Nurse Training (AAS)</t>
  </si>
  <si>
    <t>Nursing Assistant/Aide and Patient Care Assistant/Aide.</t>
  </si>
  <si>
    <t>A program that prepares individuals to perform routine nursing-related services to patients in hospitals or long-term care facilities, under the training and supervision of a registered nurse or licensed practical nurse.</t>
  </si>
  <si>
    <t>Practical Nursing, Vocational Nursing and Nursing Assistants, Other.</t>
  </si>
  <si>
    <t>Any instructional program in practical nursing, vocational nursing, and nursing assistants not listed above.</t>
  </si>
  <si>
    <t>Health Professions and Related Clinical Sciences, Other.</t>
  </si>
  <si>
    <t>Instructional content for this group of programs is defined in codes 51.9980 - 51.9999.</t>
  </si>
  <si>
    <t>Any instructional program in the health professions and related clinical sciences not listed above.</t>
  </si>
  <si>
    <t>BUSINESS, MANAGEMENT, MARKETING, AND RELATED SUPPORT SERVICES.</t>
  </si>
  <si>
    <t>Instructional programs that prepare individuals to perform managerial, technical support, and applied research functions related to the operation of commercial and non-profit enterprises and the buying and selling of goods and services.</t>
  </si>
  <si>
    <t>Business/Commerce, General.</t>
  </si>
  <si>
    <t>Instructional content is defined in code 52.0101.</t>
  </si>
  <si>
    <t>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t>
  </si>
  <si>
    <t>Business Administration, Management and Operations.</t>
  </si>
  <si>
    <t>Instructional content for this group of programs is defined in codes 52.0201 - 52.0299.</t>
  </si>
  <si>
    <t>Business Administration and Management, General.</t>
  </si>
  <si>
    <t>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t>
  </si>
  <si>
    <t>Examples: - General Management, - Business Administration</t>
  </si>
  <si>
    <t>Purchasing, Procurement/Acquisitions and Contracts Management.</t>
  </si>
  <si>
    <t>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t>
  </si>
  <si>
    <t>Examples: - Purchasing Management, - Contracts Management, - Acquisition/Procurement Management</t>
  </si>
  <si>
    <t>Logistics, Materials, and Supply Chain Management.</t>
  </si>
  <si>
    <t>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t>
  </si>
  <si>
    <t>Examples: - Logistics Management, - Materials Management, - Acquisition Logistics, - Supply Management</t>
  </si>
  <si>
    <t>Office Management and Supervision.</t>
  </si>
  <si>
    <t>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t>
  </si>
  <si>
    <t>51.0705 - Medical Office Management/Administration.</t>
  </si>
  <si>
    <t>Operations Management and Supervision.</t>
  </si>
  <si>
    <t>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t>
  </si>
  <si>
    <t>Examples: - Maintenance Management, - Production Management</t>
  </si>
  <si>
    <t>Non-Profit/Public/Organizational Management.</t>
  </si>
  <si>
    <t>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t>
  </si>
  <si>
    <t>39.0801 - Religious Institution Administration and Management.</t>
  </si>
  <si>
    <t>Customer Service Management.</t>
  </si>
  <si>
    <t>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t>
  </si>
  <si>
    <t>E-Commerce/Electronic Commerce.</t>
  </si>
  <si>
    <t>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t>
  </si>
  <si>
    <t>Transportation/Mobility Management.</t>
  </si>
  <si>
    <t>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t>
  </si>
  <si>
    <t>44.0403 - Transportation and Infrastructure Planning/Studies.</t>
  </si>
  <si>
    <t>Examples: - Mobility Management, - Air Mobility, - Sea Mobility, - Freight Forwarding, - Customs Broker, - Transportation Administration and Management</t>
  </si>
  <si>
    <t>Research and Development Management.</t>
  </si>
  <si>
    <t>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t>
  </si>
  <si>
    <t>Project Management.</t>
  </si>
  <si>
    <t>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t>
  </si>
  <si>
    <t>11.1005 - Information Technology Project Management.</t>
  </si>
  <si>
    <t>Retail Management.</t>
  </si>
  <si>
    <t>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t>
  </si>
  <si>
    <t>Organizational Leadership.</t>
  </si>
  <si>
    <t>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t>
  </si>
  <si>
    <t>Examples: - Leadership Studies, - Nonprofit Leadership Studies</t>
  </si>
  <si>
    <t>Research Administration.</t>
  </si>
  <si>
    <t>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t>
  </si>
  <si>
    <t>51.0720 - Regulatory Science/Affairs.</t>
  </si>
  <si>
    <t>Risk Management.</t>
  </si>
  <si>
    <t>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t>
  </si>
  <si>
    <t>Science/Technology Management.</t>
  </si>
  <si>
    <t>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t>
  </si>
  <si>
    <t>Business Administration, Management and Operations, Other.</t>
  </si>
  <si>
    <t>Any instructional program in business and administration not listed above.</t>
  </si>
  <si>
    <t>51.0701 - Health/Health Care Administration/Management., 51.0702 - Hospital and Health Care Facilities Administration/Management.</t>
  </si>
  <si>
    <t>Accounting and Related Services.</t>
  </si>
  <si>
    <t>Instructional content for this group of programs is defined in codes 52.0301 - 52.0399.</t>
  </si>
  <si>
    <t>Accounting.</t>
  </si>
  <si>
    <t>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t>
  </si>
  <si>
    <t>Accounting Technology/Technician and Bookkeeping.</t>
  </si>
  <si>
    <t>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t>
  </si>
  <si>
    <t>Auditing.</t>
  </si>
  <si>
    <t>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t>
  </si>
  <si>
    <t>Accounting and Finance.</t>
  </si>
  <si>
    <t>An integrated or combined program in accounting and finance that prepares individuals to function as accountants and financial managers or analysts.</t>
  </si>
  <si>
    <t>52.0301 - Accounting., 52.0801 - Finance, General.</t>
  </si>
  <si>
    <t>Accounting and Business/Management.</t>
  </si>
  <si>
    <t>An integrated or combined program in accounting and business administration/management that prepares individuals to function as accountants and business managers.</t>
  </si>
  <si>
    <t>52.0201 - Business Administration and Management, General., 52.0301 - Accounting.</t>
  </si>
  <si>
    <t>Accounting and Related Services, Other.</t>
  </si>
  <si>
    <t>Any instructional program in accounting not listed above.</t>
  </si>
  <si>
    <t>Examples: - Controllership</t>
  </si>
  <si>
    <t>Business Operations Support and Assistant Services.</t>
  </si>
  <si>
    <t>Instructional content for this group of programs is defined in codes 52.0401 - 52.0499.</t>
  </si>
  <si>
    <t>Administrative Assistant and Secretarial Science, General.</t>
  </si>
  <si>
    <t>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t>
  </si>
  <si>
    <t>22.0301 - Legal Administrative Assistant/Secretary., 51.0716 - Medical Administrative/Executive Assistant and Medical Secretary.</t>
  </si>
  <si>
    <t>Executive Assistant/Executive Secretary.</t>
  </si>
  <si>
    <t>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t>
  </si>
  <si>
    <t>51.0716 - Medical Administrative/Executive Assistant and Medical Secretary.</t>
  </si>
  <si>
    <t>Receptionist.</t>
  </si>
  <si>
    <t>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t>
  </si>
  <si>
    <t>51.0712 - Medical Reception/Receptionist., 01.8203 - Veterinary Reception/Receptionist.</t>
  </si>
  <si>
    <t>Business/Office Automation/Technology/Data Entry.</t>
  </si>
  <si>
    <t>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t>
  </si>
  <si>
    <t>General Office Occupations and Clerical Services.</t>
  </si>
  <si>
    <t>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t>
  </si>
  <si>
    <t>Parts, Warehousing, and Inventory Management Operations.</t>
  </si>
  <si>
    <t>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t>
  </si>
  <si>
    <t>Traffic, Customs, and Transportation Clerk/Technician.</t>
  </si>
  <si>
    <t>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t>
  </si>
  <si>
    <t>Customer Service Support/Call Center/Teleservice Operation.</t>
  </si>
  <si>
    <t>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t>
  </si>
  <si>
    <t>Business Operations Support and Secretarial Services, Other.</t>
  </si>
  <si>
    <t>Any instructional program in administrative and secretarial services not listed above.</t>
  </si>
  <si>
    <t>Business/Corporate Communications.</t>
  </si>
  <si>
    <t>Instructional content for this group of programs is defined in codes 52.0501 - 52.0599.</t>
  </si>
  <si>
    <t>Business/Corporate Communications, General.</t>
  </si>
  <si>
    <t>A program that prepares individuals to function in an organization as a composer, editor, and proofreader of business or business-related communications.</t>
  </si>
  <si>
    <t>Grantsmanship.</t>
  </si>
  <si>
    <t>A program that prepares individuals to develop and write grant proposals to support an organization or cause. Includes instruction in identifying grant opportunities, developing an effective proposal, budget justifications, and developing a working relationship with the funder.</t>
  </si>
  <si>
    <t>Business/Corporate Communications, Other.</t>
  </si>
  <si>
    <t>Any program in business or corporate communications not included above.</t>
  </si>
  <si>
    <t>Business/Managerial Economics.</t>
  </si>
  <si>
    <t>Instructional content is defined in code 52.0601.</t>
  </si>
  <si>
    <t>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t>
  </si>
  <si>
    <t>Entrepreneurial and Small Business Operations.</t>
  </si>
  <si>
    <t>Instructional content for this group of programs is defined in codes 52.0701 - 52.0799.</t>
  </si>
  <si>
    <t>Entrepreneurship/Entrepreneurial Studies.</t>
  </si>
  <si>
    <t>A program that generally prepares individuals to perform development, marketing and management functions associated with owning and operating a business.</t>
  </si>
  <si>
    <t>Franchising and Franchise Operations.</t>
  </si>
  <si>
    <t>A program that prepares individuals to manage and operate franchises.  Includes instruction in legal requirements, set-up costs and capitalization requirements, financing, and applications to specific franchise opportunities.</t>
  </si>
  <si>
    <t>Small Business Administration/Management.</t>
  </si>
  <si>
    <t>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t>
  </si>
  <si>
    <t>Social Entrepreneurship.</t>
  </si>
  <si>
    <t>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t>
  </si>
  <si>
    <t>13.0413 - Education Entrepreneurship.</t>
  </si>
  <si>
    <t>Entrepreneurial and Small Business Operations, Other.</t>
  </si>
  <si>
    <t>Any instructional program in enterprise management and entrepreneurship not listed above.</t>
  </si>
  <si>
    <t>Finance and Financial Management Services.</t>
  </si>
  <si>
    <t>Instructional content for this group of programs is defined in codes 52.0801 - 52.0899.</t>
  </si>
  <si>
    <t>Finance, General.</t>
  </si>
  <si>
    <t>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t>
  </si>
  <si>
    <t>Banking and Financial Support Services.</t>
  </si>
  <si>
    <t>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t>
  </si>
  <si>
    <t>Financial Planning and Services.</t>
  </si>
  <si>
    <t>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t>
  </si>
  <si>
    <t>19.0401 - Family Resource Management Studies, General.</t>
  </si>
  <si>
    <t>International Finance.</t>
  </si>
  <si>
    <t>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t>
  </si>
  <si>
    <t>45.0605 - International Economics.</t>
  </si>
  <si>
    <t>Investments and Securities.</t>
  </si>
  <si>
    <t>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t>
  </si>
  <si>
    <t>Public Finance.</t>
  </si>
  <si>
    <t>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t>
  </si>
  <si>
    <t>Credit Management.</t>
  </si>
  <si>
    <t>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t>
  </si>
  <si>
    <t>Examples: - Mortgage Broker</t>
  </si>
  <si>
    <t>Financial Risk Management.</t>
  </si>
  <si>
    <t>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t>
  </si>
  <si>
    <t>Finance and Financial Management Services, Other.</t>
  </si>
  <si>
    <t>Any instructional program in financial management and services not listed above.</t>
  </si>
  <si>
    <t>Hospitality Administration/Management.</t>
  </si>
  <si>
    <t>Instructional content for this group of programs is defined in codes 52.0901 - 52.0999.</t>
  </si>
  <si>
    <t>Hospitality Administration/Management, General.</t>
  </si>
  <si>
    <t>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t>
  </si>
  <si>
    <t>Tourism and Travel Services Management.</t>
  </si>
  <si>
    <t>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t>
  </si>
  <si>
    <t>03.0207 - Environmental/Natural Resource Recreation and Tourism.</t>
  </si>
  <si>
    <t>Hotel/Motel Administration/Management.</t>
  </si>
  <si>
    <t>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t>
  </si>
  <si>
    <t>Restaurant/Food Services Management.</t>
  </si>
  <si>
    <t>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t>
  </si>
  <si>
    <t>12.0504 - Restaurant, Culinary, and Catering Management/Manager., 19.0505 - Foodservice Systems Administration/Management.</t>
  </si>
  <si>
    <t>Resort Management.</t>
  </si>
  <si>
    <t>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t>
  </si>
  <si>
    <t>Examples: - Spa Management, - Resort and Attraction Management</t>
  </si>
  <si>
    <t>Meeting and Event Planning.</t>
  </si>
  <si>
    <t>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t>
  </si>
  <si>
    <t>19.0604 - Facilities Planning and Management.</t>
  </si>
  <si>
    <t>Examples: - Conference Management, - Conference Planning, - Wedding Planning</t>
  </si>
  <si>
    <t>Casino Management.</t>
  </si>
  <si>
    <t>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t>
  </si>
  <si>
    <t>12.0601 - Casino Operations and Services, General.</t>
  </si>
  <si>
    <t>Examples: - Casino Management, - Gaming and Casino Management, - Hospitality and Casino Management</t>
  </si>
  <si>
    <t>Hotel, Motel, and Restaurant Management.</t>
  </si>
  <si>
    <t>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t>
  </si>
  <si>
    <t>52.0904 - Hotel/Motel Administration/Management., 52.0905 - Restaurant/Food Services Management.</t>
  </si>
  <si>
    <t>Brewery/Brewpub Operations/Management.</t>
  </si>
  <si>
    <t>A program that prepares individuals to plan, manage, and market breweries and brewpubs. Includes instruction in brewing science, food services management, logistics and distribution, business networking, personnel management, business planning and capitalization, brewing industry operations, marketing, alcohol and liquor law and regulations, finance, and ethics.</t>
  </si>
  <si>
    <t>01.1003 - Brewing Science., 01.1005 - Zymology/Fermentation Science.</t>
  </si>
  <si>
    <t>Hospitality Administration/Management, Other.</t>
  </si>
  <si>
    <t>Any instructional program in hospitality service management not listed above.</t>
  </si>
  <si>
    <t>Human Resources Management and Services.</t>
  </si>
  <si>
    <t>Instructional content for this group of programs is defined in codes 52.1001 - 52.1099.</t>
  </si>
  <si>
    <t>Human Resources Management/Personnel Administration, General.</t>
  </si>
  <si>
    <t>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t>
  </si>
  <si>
    <t>Labor and Industrial Relations.</t>
  </si>
  <si>
    <t>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t>
  </si>
  <si>
    <t>Organizational Behavior Studies.</t>
  </si>
  <si>
    <t>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t>
  </si>
  <si>
    <t>42.2804 - Industrial and Organizational Psychology., 09.0901 - Organizational Communication, General.</t>
  </si>
  <si>
    <t>Labor Studies.</t>
  </si>
  <si>
    <t>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t>
  </si>
  <si>
    <t>Human Resources Development.</t>
  </si>
  <si>
    <t>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t>
  </si>
  <si>
    <t>Executive/Career Coaching.</t>
  </si>
  <si>
    <t>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t>
  </si>
  <si>
    <t>Human Resources Management and Services, Other.</t>
  </si>
  <si>
    <t>Any instructional program in human resources management not listed above.</t>
  </si>
  <si>
    <t>International Business.</t>
  </si>
  <si>
    <t>Instructional content is defined in code 52.1101.</t>
  </si>
  <si>
    <t>International Business/Trade/Commerce.</t>
  </si>
  <si>
    <t>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t>
  </si>
  <si>
    <t>Examples: - Global Business, - Global Commerce, - Global Management</t>
  </si>
  <si>
    <t>Management Information Systems and Services.</t>
  </si>
  <si>
    <t>Instructional content for this group of programs is defined in codes 52.1201 - 52.1299.</t>
  </si>
  <si>
    <t>Management Information Systems, General.</t>
  </si>
  <si>
    <t>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t>
  </si>
  <si>
    <t>11.0401 - Information Science/Studies.</t>
  </si>
  <si>
    <t>Information Resources Management.</t>
  </si>
  <si>
    <t>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t>
  </si>
  <si>
    <t>Examples: - Information Management, - Chief Information Officer Training</t>
  </si>
  <si>
    <t>Knowledge Management.</t>
  </si>
  <si>
    <t>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t>
  </si>
  <si>
    <t>Management Information Systems and Services, Other.</t>
  </si>
  <si>
    <t>Any  program in business information and data processing services not listed above.</t>
  </si>
  <si>
    <t>Management Sciences and Quantitative Methods.</t>
  </si>
  <si>
    <t>Instructional content for this group of programs is defined in codes 52.1301 - 52.1399.</t>
  </si>
  <si>
    <t>Management Science.</t>
  </si>
  <si>
    <t>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t>
  </si>
  <si>
    <t>Examples: - Business Intelligence, - Competitive Intelligence</t>
  </si>
  <si>
    <t>Business Statistics.</t>
  </si>
  <si>
    <t>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t>
  </si>
  <si>
    <t>27.0501 - Statistics, General., 30.7102 - Business Analytics.</t>
  </si>
  <si>
    <t>Actuarial Science.</t>
  </si>
  <si>
    <t>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t>
  </si>
  <si>
    <t>Management Sciences and Quantitative Methods, Other.</t>
  </si>
  <si>
    <t>Any instructional program in business quantitative methods and management science not listed above.</t>
  </si>
  <si>
    <t>Marketing.</t>
  </si>
  <si>
    <t>Instructional content for this group of programs is defined in codes 52.1401 - 52.1499.</t>
  </si>
  <si>
    <t>Marketing/Marketing Management, General.</t>
  </si>
  <si>
    <t>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t>
  </si>
  <si>
    <t>Examples: - Social Media Marketing</t>
  </si>
  <si>
    <t>Marketing Research.</t>
  </si>
  <si>
    <t>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t>
  </si>
  <si>
    <t>International Marketing.</t>
  </si>
  <si>
    <t>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t>
  </si>
  <si>
    <t>Digital Marketing.</t>
  </si>
  <si>
    <t>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t>
  </si>
  <si>
    <t>Examples: - Digital Innovation in Marketing</t>
  </si>
  <si>
    <t>Marketing, Other.</t>
  </si>
  <si>
    <t>Any instructional program in general marketing and marketing research not listed above.</t>
  </si>
  <si>
    <t>51.2011 - Pharmaceutical Marketing and Management.</t>
  </si>
  <si>
    <t>Real Estate.</t>
  </si>
  <si>
    <t>Instructional content is defined in code 52.1501.</t>
  </si>
  <si>
    <t>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t>
  </si>
  <si>
    <t>04.1001 - Real Estate Development.</t>
  </si>
  <si>
    <t>Examples: - Property Management</t>
  </si>
  <si>
    <t>Taxation.</t>
  </si>
  <si>
    <t>Instructional content is defined in code 52.1601.</t>
  </si>
  <si>
    <t>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t>
  </si>
  <si>
    <t>Insurance.</t>
  </si>
  <si>
    <t>Instructional content is defined in code 52.1701.</t>
  </si>
  <si>
    <t>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t>
  </si>
  <si>
    <t>General Sales, Merchandising and Related Marketing Operations.</t>
  </si>
  <si>
    <t>Instructional content for this group of programs is defined in codes 52.1801 - 52.1899.</t>
  </si>
  <si>
    <t>Sales, Distribution, and Marketing Operations, General.</t>
  </si>
  <si>
    <t>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t>
  </si>
  <si>
    <t>Merchandising and Buying Operations.</t>
  </si>
  <si>
    <t>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t>
  </si>
  <si>
    <t>Retailing and Retail Operations.</t>
  </si>
  <si>
    <t>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t>
  </si>
  <si>
    <t>Selling Skills and Sales Operations.</t>
  </si>
  <si>
    <t>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t>
  </si>
  <si>
    <t>General Merchandising, Sales, and Related Marketing Operations, Other.</t>
  </si>
  <si>
    <t>Any instructional program in merchandising, sales, and related marketing operations not listed above.</t>
  </si>
  <si>
    <t>Specialized Sales, Merchandising and  Marketing Operations.</t>
  </si>
  <si>
    <t>Instructional content for this group of programs is defined in codes 52.1901 - 52.1999.</t>
  </si>
  <si>
    <t>Auctioneering.</t>
  </si>
  <si>
    <t>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t>
  </si>
  <si>
    <t>Fashion Merchandising.</t>
  </si>
  <si>
    <t>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t>
  </si>
  <si>
    <t>19.0905 - Apparel and Textile Marketing Management.</t>
  </si>
  <si>
    <t>Fashion Modeling.</t>
  </si>
  <si>
    <t>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t>
  </si>
  <si>
    <t>Apparel and Accessories Marketing Operations.</t>
  </si>
  <si>
    <t>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t>
  </si>
  <si>
    <t>Tourism and Travel Services Marketing Operations.</t>
  </si>
  <si>
    <t>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t>
  </si>
  <si>
    <t>Tourism Promotion Operations.</t>
  </si>
  <si>
    <t>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t>
  </si>
  <si>
    <t>Vehicle and Vehicle Parts and Accessories Marketing Operations.</t>
  </si>
  <si>
    <t>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t>
  </si>
  <si>
    <t>Business and Personal/Financial Services Marketing Operations.</t>
  </si>
  <si>
    <t>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t>
  </si>
  <si>
    <t>Special Products Marketing Operations.</t>
  </si>
  <si>
    <t>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t>
  </si>
  <si>
    <t>Hospitality and Recreation Marketing Operations.</t>
  </si>
  <si>
    <t>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t>
  </si>
  <si>
    <t>Specialized Merchandising, Sales, and Marketing Operations, Other.</t>
  </si>
  <si>
    <t>Any instructional program in sales, marketing, and distribution operations not listed above.</t>
  </si>
  <si>
    <t>Examples: - Industrial Marketing, - Scientific and Medical Marketing</t>
  </si>
  <si>
    <t>Construction Management.</t>
  </si>
  <si>
    <t>Instructional content for this group of programs is defined in codes 52.2001 - 52.2099.</t>
  </si>
  <si>
    <t>Construction Management, General.</t>
  </si>
  <si>
    <t>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t>
  </si>
  <si>
    <t>46.0412 - Building/Construction Site Management/Manager.</t>
  </si>
  <si>
    <t>Construction Project Management.</t>
  </si>
  <si>
    <t>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t>
  </si>
  <si>
    <t>Construction Management, Other.</t>
  </si>
  <si>
    <t>Any program in construction management not listed above.</t>
  </si>
  <si>
    <t>Telecommunications Management.</t>
  </si>
  <si>
    <t>Instructional content is defined in code 52.2101.</t>
  </si>
  <si>
    <t>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t>
  </si>
  <si>
    <t>Business, Management, Marketing, and Related Support Services, Other.</t>
  </si>
  <si>
    <t>Instructional content is defined in code 52.9999.</t>
  </si>
  <si>
    <t>Any instructional program in business, management, marketing and related support services not listed above.</t>
  </si>
  <si>
    <t>HIGH SCHOOL/SECONDARY DIPLOMAS AND CERTIFICATES.</t>
  </si>
  <si>
    <t>Instructional programs that define the prescribed requirements for high school/secondary school graduation. These CIP codes are not valid for IPEDS reporting.</t>
  </si>
  <si>
    <t>High School/Secondary Diploma Programs.</t>
  </si>
  <si>
    <t>Instructional content for this group of programs is defined in codes 53.0101 - 53.0199. These CIP codes are not valid for IPEDS reporting.</t>
  </si>
  <si>
    <t>Regular/General High School/Secondary Diploma Program.</t>
  </si>
  <si>
    <t>An instructional program that defines the prescribed minimum requirements specified by a state, province, or other jurisdiction for completion of, and graduation from an undifferentiated regular secondary school program representing 12 academic years of schooling intended for school-age students. This CIP code is not valid for IPEDS reporting.</t>
  </si>
  <si>
    <t>College/University Preparatory and Advanced High School/Secondary Diploma Program.</t>
  </si>
  <si>
    <t>An instructional program that defines the prescribed requirements, specified by a state, province, or other jurisdiction, for completion of, and graduation from, a secondary school program of academic subject matter designed to meet typical college and university entrance requirements. This CIP code is not valid for IPEDS reporting.</t>
  </si>
  <si>
    <t>Vocational High School and Secondary Business/Vocational-Industrial/Occupational Diploma Program.</t>
  </si>
  <si>
    <t>An instructional program that defines the prescribed requirements, specified by a state, province, or other jurisdiction, for high school/secondary school graduation in a vocational program -- together with other required subject matter, and that may prepare individuals for specific occupations or direct labor market entry. This CIP code is not valid for IPEDS reporting.</t>
  </si>
  <si>
    <t>Honors/Regents High School/Secondary Diploma Program.</t>
  </si>
  <si>
    <t>An instructional program that defines the prescribed requirements, specified by a state, province, or other jurisdiction for high school/secondary school graduation in an academic or vocational program at a prescribed level of outstanding scholastic performance, or via meeting special requirements beyond the minimum. This CIP code is not valid for IPEDS reporting.</t>
  </si>
  <si>
    <t>Adult High School/Secondary Diploma Program.</t>
  </si>
  <si>
    <t>An instructional program that defines the prescribed requirements, specified by a state, province, or other jurisdiction for the completion of, and graduation from a secondary school program of academic subject matter offered for adult learners outside of the regular secondary school program.  This does not include adult compensatory education programs resulting in completion of a high school equivalency certificate or diploma. This CIP code is not valid for IPEDS reporting.</t>
  </si>
  <si>
    <t>High School/Secondary Diploma Programs, Other.</t>
  </si>
  <si>
    <t>Any high school/secondary diploma program not listed above, such as diplomas awarded to special education students for completion of an individualized education plan (IEP). This CIP code is not valid for IPEDS reporting.</t>
  </si>
  <si>
    <t>High School/Secondary Certificate Programs.</t>
  </si>
  <si>
    <t>Instructional content for this group of programs is defined in codes 53.0201 - 53.0299. These CIP codes are not valid for IPEDS reporting.</t>
  </si>
  <si>
    <t>High School Equivalence Certificate Program.</t>
  </si>
  <si>
    <t>An instructional program that defines the requirements for meeting the minimum high school/secondary completion requirements specified by a U.S. state or other jurisdiction, for adult learners who did not complete secondary school.  Includes undertaking a specified program of studies and obtaining a prescribed passing score on the General Educational Development Test (GED) or provincial examinations.  These awards represent the legally recognized equivalent of secondary school graduation. This CIP code is not valid for IPEDS reporting.</t>
  </si>
  <si>
    <t>High School Certificate of Competence Program.</t>
  </si>
  <si>
    <t>An instructional program that defines the content requirements for meeting specified performance standards in various secondary school studies that does not represent completion of and graduation from secondary school, as prescribed by a U.S. state or other jurisdiction.  Includes such requirements as passing a state- or province-mandated academic achievement test and completing other specified requirements for subject-matter competence.  These awards may be given for partial completion of secondary school or for achieving a specified high level of concentration and/or performance in certain subjects, and may be awarded independently or in conjunction with a high school/secondary diploma. This CIP code is not valid for IPEDS reporting.</t>
  </si>
  <si>
    <t>Certificate of IEP Completion Program.</t>
  </si>
  <si>
    <t>An instructional program that defines the requirements for meeting specified goals pertaining to an Individual Educational Program established by a local school system under the authority of a state or other jurisdiction.  Specific content varies by student and may or may not equal a regular high school/secondary school program. This CIP code is not valid for IPEDS reporting.</t>
  </si>
  <si>
    <t>High School/Secondary Certificates, Other.</t>
  </si>
  <si>
    <t>Any certificate program at the high school/secondary instructional level not listed above. This CIP code is not valid for IPEDS reporting.</t>
  </si>
  <si>
    <t>HISTORY.</t>
  </si>
  <si>
    <t>Instructional programs that focus on the study and interpretation of past events, institutions, issues, and cultures.</t>
  </si>
  <si>
    <t>History.</t>
  </si>
  <si>
    <t>Instructional content for this group of programs is defined in codes 54.0101 - 54.0199.</t>
  </si>
  <si>
    <t>History, General.</t>
  </si>
  <si>
    <t>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t>
  </si>
  <si>
    <t>30.4501 - History and Language/Literature., 30.4601 - History and Political Science.</t>
  </si>
  <si>
    <t>American  History (United States).</t>
  </si>
  <si>
    <t>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t>
  </si>
  <si>
    <t>European History.</t>
  </si>
  <si>
    <t>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t>
  </si>
  <si>
    <t>30.1301 - Medieval and Renaissance Studies.</t>
  </si>
  <si>
    <t>History and Philosophy of Science and Technology.</t>
  </si>
  <si>
    <t>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t>
  </si>
  <si>
    <t>30.1501 - Science, Technology and Society., 51.3205 - History of Medicine.</t>
  </si>
  <si>
    <t>Public/Applied History.</t>
  </si>
  <si>
    <t>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t>
  </si>
  <si>
    <t>30.1202 - Cultural Resource Management and Policy Analysis., 25.0103 - Archives/Archival Administration.</t>
  </si>
  <si>
    <t>Asian History.</t>
  </si>
  <si>
    <t>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t>
  </si>
  <si>
    <t>Canadian History.</t>
  </si>
  <si>
    <t>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t>
  </si>
  <si>
    <t>Military History.</t>
  </si>
  <si>
    <t>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t>
  </si>
  <si>
    <t>Examples: - Air Force History, - Naval History, - Military History (Armies)</t>
  </si>
  <si>
    <t>History, Other.</t>
  </si>
  <si>
    <t>Any instructional program in history not listed above.</t>
  </si>
  <si>
    <t>Instructional content is defined in code 55.0101.</t>
  </si>
  <si>
    <t>Instructional content for this group of programs is defined in codes 55.1301 - 55.1399.</t>
  </si>
  <si>
    <t>Instructional content for this group of programs is defined in codes 55.1401 - 55.1499.</t>
  </si>
  <si>
    <t>Instructional content is defined in code 55.9999.</t>
  </si>
  <si>
    <t>HEALTH PROFESSIONS RESIDENCY/FELLOWSHIP PROGRAMS.</t>
  </si>
  <si>
    <t>Programs that prepare dentists (DDS, DMD), nurse practitioners, pharmacists (PharmD), physician assistants, and veterinarians (DVM) for certification as practitioners of recognized specialties in their respective professions. These programs are approved and accredited by designated professional associations. Residency or fellowship programs that also result in the completion of an academic degree (e.g., MS, PhD), should be reported under the appropriate CIP code, rather than in a residency code located in Series 60. These CIP codes are not valid for IPEDS reporting.</t>
  </si>
  <si>
    <t>Dental Residency/Fellowship Programs.</t>
  </si>
  <si>
    <t>Instructional content for this group of programs is defined in codes 60.0101 - 60.0199. These CIP codes are not valid for IPEDS reporting.</t>
  </si>
  <si>
    <t>Oral and Maxillofacial Surgery Residency Program.</t>
  </si>
  <si>
    <t>A residency training program that prepares dentists in the diagnosis, and surgical and related treatment, of diseases, injuries, and defects involving both the functional and esthetic aspects of the hard and soft tissues of the head, mouth, teeth, gums, jaws, and neck. Includes treatment of problem wisdom teeth, facial pain, misaligned jaws, and reconstructive and dental implant surgery. This CIP code is not valid for IPEDS reporting.</t>
  </si>
  <si>
    <t>Examples: - Dental/Oral Surgery Residency Program</t>
  </si>
  <si>
    <t>Dental Public Health Residency Program.</t>
  </si>
  <si>
    <t>A residency-training program that prepares dentists in the formulation and delivery of public preventive and curative dental health services. This CIP code is not valid for IPEDS reporting.</t>
  </si>
  <si>
    <t>Endodontics Residency Program.</t>
  </si>
  <si>
    <t>A residency training program that prepares dentists in the etiology, diagnosis, prevention, and treatment of conditions that affect the dental and other periodontal tissues, including pulp canal therapy and root canal therapy. This CIP code is not valid for IPEDS reporting.</t>
  </si>
  <si>
    <t>Oral and Maxillofacial Pathology Residency Program.</t>
  </si>
  <si>
    <t>A residency training program that prepares dentists in the diagnosis and management of diseases affecting the oral and maxillofacial regions, using clinical, radiographic, microscopic, biochemical, or other examinations. This CIP code is not valid for IPEDS reporting.</t>
  </si>
  <si>
    <t>Examples: - Oral Pathology Residency Program</t>
  </si>
  <si>
    <t>Orthodontics Residency Program.</t>
  </si>
  <si>
    <t>A residency training program that prepares dentists in the principles and techniques involved in the prevention and correction of dental malocclusions and oral cavity anomalies. This CIP code is not valid for IPEDS reporting.</t>
  </si>
  <si>
    <t>Pediatric Dentistry Residency Program.</t>
  </si>
  <si>
    <t>A residency training program that prepares dentists to provide primary oral health care to infants, children, and adolescents, including patients with medical, physical or mental disabilities, and to treat a wide variety of dental problems for these patients. This CIP code is not valid for IPEDS reporting.</t>
  </si>
  <si>
    <t>Examples: - Pedodontics Residency Program</t>
  </si>
  <si>
    <t>Periodontology Residency Program.</t>
  </si>
  <si>
    <t>A residency training program that prepares dentists in the prevention, diagnosis, and treatment of diseases affecting the gums and supporting structures of the teeth, and in the placement and maintenance of dental implants. This CIP code is not valid for IPEDS reporting.</t>
  </si>
  <si>
    <t>Examples: - Periodontics Residency Program</t>
  </si>
  <si>
    <t>Prosthodontics Residency Program.</t>
  </si>
  <si>
    <t>A residency training program that prepares dentists in the principles and techniques of constructing oral prostheses, and the restoration and maintenance of oral function by the replacement of missing teeth and other oral structures with such artificial devices. This CIP code is not valid for IPEDS reporting.</t>
  </si>
  <si>
    <t>Oral and Maxillofacial Radiology Residency Program.</t>
  </si>
  <si>
    <t>A residency training program that prepares dentists to produce and interpret images of the jaws, teeth, bone, and other structures of the head and neck region; and to diagnose and manage diseases, disorders, and conditions that affect this area of the body. This CIP code is not valid for IPEDS reporting.</t>
  </si>
  <si>
    <t>Implantology Fellowship Program.</t>
  </si>
  <si>
    <t>A fellowship training program that prepares dentists in the surgical and restorative aspects of implant dentistry. This CIP code is not valid for IPEDS reporting.</t>
  </si>
  <si>
    <t>Dental Residency/Fellowship Program, Other.</t>
  </si>
  <si>
    <t>Any dental residency or fellowship specialty program not listed above. This CIP code is not valid for IPEDS reporting.</t>
  </si>
  <si>
    <t>Veterinary Residency/Fellowship Programs.</t>
  </si>
  <si>
    <t>Instructional content for this group of programs is defined in codes 60.0301 - 60.0399. These CIP codes are not valid for IPEDS reporting.</t>
  </si>
  <si>
    <t>Veterinary Anesthesiology Residency Program.</t>
  </si>
  <si>
    <t>A residency training program that prepares veterinarians in the application of anesthesia for general and specialized surgery and obstetrics, critical animal care and the care of pain problems.  Includes instruction in surgical procedures, current monitoring procedures, fluid therapy, pain management, diagnostic and therapeutic procedures outside the operating room, and operating room safety. This CIP code is not valid for IPEDS reporting.</t>
  </si>
  <si>
    <t>Veterinary Dentistry Residency Program.</t>
  </si>
  <si>
    <t>A residency training program that prepares veterinarians in the application of dental care procedures to the teeth, eating surfaces, and oral cavities of animals.  Includes instruction in the prevention, diagnosis, and treatment of diseases and abnormalities of animal teeth and gums and related parts of the oral cavity; and related anatomical and physiological principles. This CIP code is not valid for IPEDS reporting.</t>
  </si>
  <si>
    <t>Veterinary Dermatology Residency Program.</t>
  </si>
  <si>
    <t>A residency training program that prepares veterinarians in the delivery of specialized care to animals with diseases of the skin, scales, feathers, hair, nails and mucous membranes.  Includes instruction in dermatologic surgical procedures, cutaneous allergies, and diagnostic and therapeutic techniques. This CIP code is not valid for IPEDS reporting.</t>
  </si>
  <si>
    <t>Veterinary Emergency and Critical Care Medicine Residency Program.</t>
  </si>
  <si>
    <t>A residency training program that prepares veterinarians in the emergency treatment and management of care for animals with acutely life-threatening conditions which may include multiple organ failure.  Includes instruction in the management of critical care units, emergency procedures, and long-term care of critically diseased animals. This CIP code is not valid for IPEDS reporting.</t>
  </si>
  <si>
    <t>Veterinary Internal Medicine Residency Program.</t>
  </si>
  <si>
    <t>A residency training program that prepares veterinarians in the provision of general medical services to animals with a wide range of non-surgical clinical problems.  Includes instruction in behavioral aspects of diseases, animal diagnosis, animal aging, and referral procedures. This CIP code is not valid for IPEDS reporting.</t>
  </si>
  <si>
    <t>Laboratory Animal Medicine Residency Program.</t>
  </si>
  <si>
    <t>A residency training program that prepares veterinarians in the principles and practices of applied veterinary research and related techniques, equipment, data systems and research design.  Includes instruction in the management of veterinary and other animal research laboratories and health care facilities. This CIP code is not valid for IPEDS reporting.</t>
  </si>
  <si>
    <t>Veterinary Microbiology Residency Program.</t>
  </si>
  <si>
    <t>A residency training program that prepares veterinarians in clinical applications of research on harmful microorganisms, including viruses, and of the disease processes they induce in animals. This CIP code is not valid for IPEDS reporting.</t>
  </si>
  <si>
    <t>Veterinary Nutrition Residency Program.</t>
  </si>
  <si>
    <t>A residency training program that prepares veterinarians to apply research on the chemical nature of food substances; the processes by which animals ingest, digest, absorb, transport, utilize and excrete food and nutrients; and their relation to animal behavior and health. This CIP code is not valid for IPEDS reporting.</t>
  </si>
  <si>
    <t>Veterinary Ophthalmology Residency Program.</t>
  </si>
  <si>
    <t>A residency training program that prepares veterinarians in the diagnosis, prevention, and treatment of ophthalmic diseases and disorders in animals, and related ocular pathology procedures.  Includes instruction in animal eye surgery. This CIP code is not valid for IPEDS reporting.</t>
  </si>
  <si>
    <t>Veterinary Pathology Residency Program.</t>
  </si>
  <si>
    <t>A residency training program that prepares veterinarians in the clinical laboratory analysis and diagnosis of diseased animal tissues and anatomic abnormalities.  Includes instruction in performing general autopsies, forensic medicine, laboratory management and quality control. This CIP code is not valid for IPEDS reporting.</t>
  </si>
  <si>
    <t>Veterinary Practice Residency Program.</t>
  </si>
  <si>
    <t>A residency training program that prepares veterinarians in the provision of regular and long-term care to animals, health services to owners, and the management of independent veterinary practices.  Includes instruction in comprehensive care and specialist referral, basic surgery, emergency medical procedures, and diagnostic imaging. This CIP code is not valid for IPEDS reporting.</t>
  </si>
  <si>
    <t>Veterinary Preventive Medicine Residency Program.</t>
  </si>
  <si>
    <t>A residency training program that prepares veterinarians in the investigation of and intervention in health and disease problems of animal and related human communities, comparative medicine, and animal public health.  Includes instruction in biostatistics, epidemiology, environmental control, toxicology and the planning and administration of animal health programs and services. This CIP code is not valid for IPEDS reporting.</t>
  </si>
  <si>
    <t>Veterinary Radiology Residency Program.</t>
  </si>
  <si>
    <t>A residency training program that prepares veterinarians in the use of radiologic imaging and therapies to diagnose and treat animal diseases and health problems.  Includes instruction in the use and handling of equipment for radionuclides detection and application. This CIP code is not valid for IPEDS reporting.</t>
  </si>
  <si>
    <t>Veterinary Surgery Residency Program.</t>
  </si>
  <si>
    <t>A residency training program that prepares veterinarians in the care and treatment of animal diseases and disorders via invasive procedures and the etiology, pathogenesis, diagnosis and management of physical disorders.  Includes instruction in clinical and operative skills, pre-operative and post-operative care, trauma management, endoscopic techniques, and applications to large and small animal medicine. This CIP code is not valid for IPEDS reporting.</t>
  </si>
  <si>
    <t>Theriogenology Residency Program.</t>
  </si>
  <si>
    <t>A residency training program that prepares veterinarians in the diagnosis, prevention and treatment of diseases and health problems affecting the reproductive systems of animals, and the comprehensive care and treatment of parent animals, animal fetuses and newborn or newly hatched animals throughout the gestation period. This CIP code is not valid for IPEDS reporting.</t>
  </si>
  <si>
    <t>Veterinary Toxicology Residency Program.</t>
  </si>
  <si>
    <t>A residency training program that prepares veterinarians in the clinical application of research on the nature and extent of adverse effects of synthetic and naturally occurring chemical substances on animals.  Includes instruction in chemical mechanisms and the specialties of reproductive, developmental, genetic, forensic, inhalation and neurobehavioral toxicology. This CIP code is not valid for IPEDS reporting.</t>
  </si>
  <si>
    <t>Zoological Medicine Residency Program.</t>
  </si>
  <si>
    <t>A residency training program that prepares veterinarians in the specialized treatment and care of zoo animals, performing animals, and animals living in the wild.  Includes instruction in the principles and procedures used in the observation, diagnosis, care and treatment of illness, disease, injury, deformity, or other anomalies in non-domesticated animals. This CIP code is not valid for IPEDS reporting.</t>
  </si>
  <si>
    <t>Poultry Veterinarian Residency Program.</t>
  </si>
  <si>
    <t>A residency training program that prepares veterinarians to work in the commercial poultry industry, providing services and technical support pertaining to prevention, diagnosis, and management of disease; epidemiology; genetics; and nutrition. This CIP code is not valid for IPEDS reporting.</t>
  </si>
  <si>
    <t>Veterinary Behaviorist Residency Program.</t>
  </si>
  <si>
    <t>A residency training program that prepares veterinarians to understand and treat the behavioral problems of animals, primarily through the application of behavior modification techniques to companion animals; may also involve diagnosis of medical conditions that can affect a pet's behavior, and the use of medication in conjunction with behavior modification therapy. This CIP code is not valid for IPEDS reporting.</t>
  </si>
  <si>
    <t>Veterinary Clinical Pharmacology Residency Program.</t>
  </si>
  <si>
    <t>A residency training program that prepares veterinarians to apply advanced knowledge of the chemical properties and biological effects of drugs to rational drug therapy in animal patients. Includes instruction in the comparative pharmacology of principal drug groups, pharmacokinetics, basic mechanisms and features of diseases occurring in domesticated animals, the role of drugs in modifying the disease process, and specific skills critical to the practice of clinical pharmacology. This CIP code is not valid for IPEDS reporting.</t>
  </si>
  <si>
    <t>Veterinary Residency/Fellowship Program, Other.</t>
  </si>
  <si>
    <t>Any residency or fellowship training program in veterinary medicine not listed above. This CIP code is not valid for IPEDS reporting.</t>
  </si>
  <si>
    <t>Medical Residency Programs - General Certificates.</t>
  </si>
  <si>
    <t>Deleted, Report under 61</t>
  </si>
  <si>
    <t>Aerospace Medicine Residency Program.</t>
  </si>
  <si>
    <t>Moved from 60.0401 to 61.2302</t>
  </si>
  <si>
    <t>Allergy and Immunology Residency Program.</t>
  </si>
  <si>
    <t>Moved from 60.0402 to 61.0301</t>
  </si>
  <si>
    <t>Anesthesiology Residency Program.</t>
  </si>
  <si>
    <t>Moved from 60.0403 to 61.0401</t>
  </si>
  <si>
    <t>Child Neurology Residency Program.</t>
  </si>
  <si>
    <t>Moved from 60.0404 to 61.1102</t>
  </si>
  <si>
    <t>Clinical Biochemical Genetics Residency Program.</t>
  </si>
  <si>
    <t>Moved from 60.0405 to 61.0901</t>
  </si>
  <si>
    <t>Clinical Cytogenetics Residency Program.</t>
  </si>
  <si>
    <t>Deleted, Report under 61.0903</t>
  </si>
  <si>
    <t>Clinical Genetics Residency Program.</t>
  </si>
  <si>
    <t>Moved from 60.0407 to 61.0902</t>
  </si>
  <si>
    <t>Clinical Molecular Genetics Residency Program.</t>
  </si>
  <si>
    <t>Colon and Rectal Surgery Residency Program.</t>
  </si>
  <si>
    <t>Moved from 60.0409 to 61.2702</t>
  </si>
  <si>
    <t>Dermatology Residency Program.</t>
  </si>
  <si>
    <t>Moved from 60.0410 to 61.0501</t>
  </si>
  <si>
    <t>Diagnostic Radiology Residency Program.</t>
  </si>
  <si>
    <t>Moved from 60.0411 to 61.2601</t>
  </si>
  <si>
    <t>Emergency Medicine Residency Program.</t>
  </si>
  <si>
    <t>Moved from 60.0412 to 61.0601</t>
  </si>
  <si>
    <t>Family Medicine Residency Program.</t>
  </si>
  <si>
    <t>Moved from 60.0413 to 61.0701</t>
  </si>
  <si>
    <t>General Surgery Residency Program.</t>
  </si>
  <si>
    <t>Moved from 60.0414 to 61.2701</t>
  </si>
  <si>
    <t>Internal Medicine Residency Program.</t>
  </si>
  <si>
    <t>Moved from 60.0415 to 61.0801</t>
  </si>
  <si>
    <t>Neurological Surgery Residency Program.</t>
  </si>
  <si>
    <t>Moved from 60.0416 to 61.1001</t>
  </si>
  <si>
    <t>Neurology Residency Program.</t>
  </si>
  <si>
    <t>Moved from 60.0417 to 61.1101</t>
  </si>
  <si>
    <t>Nuclear Medicine Residency Program.</t>
  </si>
  <si>
    <t>Moved from 60.0418 to 61.1201</t>
  </si>
  <si>
    <t>Obstetrics and Gynecology Residency Program.</t>
  </si>
  <si>
    <t>Moved from 60.0419 to 61.1301</t>
  </si>
  <si>
    <t>Occupational Medicine Residency Program.</t>
  </si>
  <si>
    <t>Moved from 60.0420 to 61.2303</t>
  </si>
  <si>
    <t>Ophthalmology Residency Program.</t>
  </si>
  <si>
    <t>Moved from 60.0421 to 61.1401</t>
  </si>
  <si>
    <t>Orthopedic Surgery Residency Program.</t>
  </si>
  <si>
    <t>Moved from 60.0422 to 61.1501</t>
  </si>
  <si>
    <t>Otolaryngology Residency Program.</t>
  </si>
  <si>
    <t>Moved from 60.0423 to 61.1701</t>
  </si>
  <si>
    <t>Pathology Residency Program.</t>
  </si>
  <si>
    <t>Moved from 60.0424 to 61.1801</t>
  </si>
  <si>
    <t>Pediatrics Residency Program.</t>
  </si>
  <si>
    <t>Moved from 60.0425 to 61.1901</t>
  </si>
  <si>
    <t>Physical Medicine and Rehabilitation Residency Program.</t>
  </si>
  <si>
    <t>Moved from 60.0426 to 61.2001</t>
  </si>
  <si>
    <t>Plastic Surgery Residency Program.</t>
  </si>
  <si>
    <t>Moved from 60.0427 to 61.2101</t>
  </si>
  <si>
    <t>Psychiatry Residency Program.</t>
  </si>
  <si>
    <t>Moved from 60.0428 to 61.2401</t>
  </si>
  <si>
    <t>Public Health and General Preventive Medicine Residency Program.</t>
  </si>
  <si>
    <t>Moved from 60.0429 to 61.2301</t>
  </si>
  <si>
    <t>Radiation Oncology Residency Program.</t>
  </si>
  <si>
    <t>Moved from 60.0430 to 61.2501</t>
  </si>
  <si>
    <t>Radiologic Physics Residency Program.</t>
  </si>
  <si>
    <t>Moved from 60.0431 to 61.2610</t>
  </si>
  <si>
    <t>Thoracic Surgery Residency Program.</t>
  </si>
  <si>
    <t>Moved from 60.0432 to 61.2707</t>
  </si>
  <si>
    <t>Urology Residency Program.</t>
  </si>
  <si>
    <t>Moved from 60.0433 to 61.2801</t>
  </si>
  <si>
    <t>Vascular Surgery Residency Program.</t>
  </si>
  <si>
    <t>Moved from 60.0434 to 61.2708</t>
  </si>
  <si>
    <t>Medical Residency Programs - General Certificates, Other.</t>
  </si>
  <si>
    <t>Medical Residency Programs - Subspecialty Certificates.</t>
  </si>
  <si>
    <t>Addiction Psychiatry Residency Program.</t>
  </si>
  <si>
    <t>Moved from 60.0501 to 61.2402</t>
  </si>
  <si>
    <t>Adolescent Medicine Residency Program.</t>
  </si>
  <si>
    <t>Moved from 60.0502 to 61.1902</t>
  </si>
  <si>
    <t>Blood Banking/Transfusion Medicine Residency Program.</t>
  </si>
  <si>
    <t>Moved from 60.0503 to 61.1804</t>
  </si>
  <si>
    <t>Cardiovascular Disease Residency Program.</t>
  </si>
  <si>
    <t>Moved from 60.0504 to 61.0804</t>
  </si>
  <si>
    <t>Chemical Pathology Residency Program.</t>
  </si>
  <si>
    <t>Moved from 60.0505 to 61.1805</t>
  </si>
  <si>
    <t>Child Abuse Pediatrics Residency Program.</t>
  </si>
  <si>
    <t>Moved from 60.0506 to 61.1903</t>
  </si>
  <si>
    <t>Child and Adolescent Psychiatry Residency Program.</t>
  </si>
  <si>
    <t>Moved from 60.0507 to 61.2403</t>
  </si>
  <si>
    <t>Clinical Cardiac Electrophysiology Residency Program.</t>
  </si>
  <si>
    <t>Moved from 60.0508 to 61.0805</t>
  </si>
  <si>
    <t>Clinical Neurophysiology Residency Program.</t>
  </si>
  <si>
    <t>Moved from 60.0509 to 61.1103</t>
  </si>
  <si>
    <t>Congenital Cardiac Surgery Residency Program.</t>
  </si>
  <si>
    <t>Moved from 60.0510 to 61.2704</t>
  </si>
  <si>
    <t>Critical Care Medicine Residency Program.</t>
  </si>
  <si>
    <t>Moved from 60.0511 to 61.0202</t>
  </si>
  <si>
    <t>Cytopathology Residency Program.</t>
  </si>
  <si>
    <t>Moved from 60.0512 to 61.1806</t>
  </si>
  <si>
    <t>Dermatopathology Residency Program.</t>
  </si>
  <si>
    <t>Moved from 60.0513 to 61.0502</t>
  </si>
  <si>
    <t>Developmental-Behavioral Pediatrics Residency Program.</t>
  </si>
  <si>
    <t>Moved from 60.0514 to 61.1904</t>
  </si>
  <si>
    <t>Diagnostic Radiologic Physics Residency Program.</t>
  </si>
  <si>
    <t>Moved from 60.0515 to 61.2604</t>
  </si>
  <si>
    <t>Endocrinology, Diabetes and Metabolism Residency Program.</t>
  </si>
  <si>
    <t>Moved from 60.0516 to 61.0806</t>
  </si>
  <si>
    <t>Forensic Pathology Residency Program.</t>
  </si>
  <si>
    <t>Moved from 60.0517 to 61.1807</t>
  </si>
  <si>
    <t>Forensic Psychiatry Residency Program.</t>
  </si>
  <si>
    <t>Moved from 60.0518 to 61.2405</t>
  </si>
  <si>
    <t>Gastroenterology Residency Program.</t>
  </si>
  <si>
    <t>Moved from 60.0519 to 61.0807</t>
  </si>
  <si>
    <t>Geriatric Medicine Residency Program.</t>
  </si>
  <si>
    <t>Moved from 60.0520 to 61.0203</t>
  </si>
  <si>
    <t>Geriatric Psychiatry Residency Program.</t>
  </si>
  <si>
    <t>Moved from 60.0521 to 61.2406</t>
  </si>
  <si>
    <t>Gynecologic Oncology Residency Program.</t>
  </si>
  <si>
    <t>Moved from 60.0522 to 61.1302</t>
  </si>
  <si>
    <t>Hematological Pathology Residency Program.</t>
  </si>
  <si>
    <t>Moved from 60.0523 to 61.1808</t>
  </si>
  <si>
    <t>Hematology Residency Program.</t>
  </si>
  <si>
    <t>Moved from 60.0524 to 61.0808</t>
  </si>
  <si>
    <t>Hospice and Palliative Medicine Residency Program.</t>
  </si>
  <si>
    <t>Moved from 60.0525 to 61.0205</t>
  </si>
  <si>
    <t>Immunopathology Residency Program.</t>
  </si>
  <si>
    <t>Moved from 60.0526 to 61.1809</t>
  </si>
  <si>
    <t>Infectious Disease Residency Program.</t>
  </si>
  <si>
    <t>Moved from 60.0527 to 61.0810</t>
  </si>
  <si>
    <t>Interventional Cardiology Residency Program.</t>
  </si>
  <si>
    <t>Moved from 60.0528 to 61.0811</t>
  </si>
  <si>
    <t>Laboratory Medicine Residency Program.</t>
  </si>
  <si>
    <t>Moved from 60.0529 to 61.1810</t>
  </si>
  <si>
    <t>Maternal and Fetal Medicine Residency Program.</t>
  </si>
  <si>
    <t>Moved from 60.0530 to 61.1303</t>
  </si>
  <si>
    <t>Medical Biochemical Genetics Residency Program.</t>
  </si>
  <si>
    <t>Moved from 60.0531 to 61.0904</t>
  </si>
  <si>
    <t>Medical Microbiology Residency Program.</t>
  </si>
  <si>
    <t>Moved from 60.0532 to 61.1811</t>
  </si>
  <si>
    <t>Medical Nuclear Physics Residency Program.</t>
  </si>
  <si>
    <t>Moved from 60.0533 to 61.2605</t>
  </si>
  <si>
    <t>Medical Oncology Residency Program.</t>
  </si>
  <si>
    <t>Moved from 60.0534 to 61.0813</t>
  </si>
  <si>
    <t>Medical Toxicology Residency Program.</t>
  </si>
  <si>
    <t>Moved from 60.0535 to 61.0208</t>
  </si>
  <si>
    <t>Molecular Genetic Pathology Residency Program.</t>
  </si>
  <si>
    <t>Moved from 60.0536 to 61.1812</t>
  </si>
  <si>
    <t>Musculoskeletal Oncology Residency Program.</t>
  </si>
  <si>
    <t>Moved from 60.0537 to 61.1502</t>
  </si>
  <si>
    <t>Neonatal-Perinatal Medicine Residency Program.</t>
  </si>
  <si>
    <t>Moved from 60.0538 to 61.1905</t>
  </si>
  <si>
    <t>Nephrology Residency Program.</t>
  </si>
  <si>
    <t>Moved from 60.0539 to 61.0812</t>
  </si>
  <si>
    <t>Neurodevelopmental Disabilities Residency Program.</t>
  </si>
  <si>
    <t>Moved from 60.0540 to 61.1106</t>
  </si>
  <si>
    <t>Neuromuscular Medicine Residency Program.</t>
  </si>
  <si>
    <t>Moved from 60.0541 to 61.0209</t>
  </si>
  <si>
    <t>Neuropathology Residency Program.</t>
  </si>
  <si>
    <t>Moved from 60.0542 to 61.1813</t>
  </si>
  <si>
    <t>Neuroradiology Residency Program.</t>
  </si>
  <si>
    <t>Moved from 60.0543 to 61.2607</t>
  </si>
  <si>
    <t>Neurotology Residency Program.</t>
  </si>
  <si>
    <t>Moved from 60.0544 to 61.1702</t>
  </si>
  <si>
    <t>Nuclear Radiology Residency Program.</t>
  </si>
  <si>
    <t>Moved from 60.0545 to 61.2608</t>
  </si>
  <si>
    <t>Orthopedic Sports Medicine Residency Program.</t>
  </si>
  <si>
    <t>Moved from 60.0546 to 61.1503</t>
  </si>
  <si>
    <t>Orthopedic Surgery of the Spine Residency Program.</t>
  </si>
  <si>
    <t>Moved from 60.0547 to 61.1504</t>
  </si>
  <si>
    <t>Pain Medicine Residency Program.</t>
  </si>
  <si>
    <t>Moved from 60.0548 to 61.0210</t>
  </si>
  <si>
    <t>Pediatric Cardiology Residency Program.</t>
  </si>
  <si>
    <t>Moved from 60.0549 to 61.1906</t>
  </si>
  <si>
    <t>Pediatric Critical Care Medicine Residency Program.</t>
  </si>
  <si>
    <t>Moved from 60.0550 to 61.1907</t>
  </si>
  <si>
    <t>Pediatric Dermatology Residency Program.</t>
  </si>
  <si>
    <t>Moved from 60.0551 to 61.0503</t>
  </si>
  <si>
    <t>Pediatric Emergency Medicine Residency Program.</t>
  </si>
  <si>
    <t>Moved from 60.0552 to 61.1908</t>
  </si>
  <si>
    <t>Pediatric Endocrinology Residency Program.</t>
  </si>
  <si>
    <t>Moved from 60.0553 to 61.1909</t>
  </si>
  <si>
    <t>Pediatric Gastroenterology Residency Program.</t>
  </si>
  <si>
    <t>Moved from 60.0554 to 61.1910</t>
  </si>
  <si>
    <t>Pediatric Hematology-Oncology Residency Program.</t>
  </si>
  <si>
    <t>Moved from 60.0555 to 61.1911</t>
  </si>
  <si>
    <t>Pediatric Infectious Diseases Residency Program.</t>
  </si>
  <si>
    <t>Moved from 60.0556 to 61.1912</t>
  </si>
  <si>
    <t>Pediatric Nephrology Residency Program.</t>
  </si>
  <si>
    <t>Moved from 60.0557 to 61.1913</t>
  </si>
  <si>
    <t>Pediatric Orthopedics Residency Program.</t>
  </si>
  <si>
    <t>Moved from 60.0558 to 61.1505</t>
  </si>
  <si>
    <t>Pediatric Otolaryngology Residency Program.</t>
  </si>
  <si>
    <t>Moved from 60.0559 to 61.1703</t>
  </si>
  <si>
    <t>Pediatric Pathology Residency Program.</t>
  </si>
  <si>
    <t>Moved from 60.0560 to 61.1814</t>
  </si>
  <si>
    <t>Pediatric Pulmonology Residency Program.</t>
  </si>
  <si>
    <t>Moved from 60.0561 to 61.1914</t>
  </si>
  <si>
    <t>Pediatric Radiology Residency Program.</t>
  </si>
  <si>
    <t>Moved from 60.0562 to 61.2609</t>
  </si>
  <si>
    <t>Pediatric Rehabilitation Medicine Residency Program.</t>
  </si>
  <si>
    <t>Moved from 60.0563 to 61.2003</t>
  </si>
  <si>
    <t>Pediatric Rheumatology Residency Program.</t>
  </si>
  <si>
    <t>Moved from 60.0564 to 61.1915</t>
  </si>
  <si>
    <t>Pediatric Surgery Residency Program.</t>
  </si>
  <si>
    <t>Moved from 60.0565 to 61.2705</t>
  </si>
  <si>
    <t>Pediatric Transplant Hepatology Residency Program.</t>
  </si>
  <si>
    <t>Moved from 60.0566 to 61.1917</t>
  </si>
  <si>
    <t>Pediatric Urology Residency Program.</t>
  </si>
  <si>
    <t>Moved from 60.0567 to 61.2802</t>
  </si>
  <si>
    <t>Physical Medicine and Rehabilitation/Psychiatry Residency Program.</t>
  </si>
  <si>
    <t>Deleted, Report under 61.0199</t>
  </si>
  <si>
    <t>Plastic Surgery Within the Head and Neck Residency Program.</t>
  </si>
  <si>
    <t>Moved from 60.0569 to 61.2103</t>
  </si>
  <si>
    <t>Psychosomatic Medicine Residency Program.</t>
  </si>
  <si>
    <t>Moved from 60.0570 to 61.2404</t>
  </si>
  <si>
    <t>Pulmonary Disease Residency Program.</t>
  </si>
  <si>
    <t>Moved from 60.0571 to 61.0814</t>
  </si>
  <si>
    <t>Radioisotopic Pathology Residency Program.</t>
  </si>
  <si>
    <t>Moved from 60.0572 to 61.1815</t>
  </si>
  <si>
    <t>Reproductive Endocrinology/Infertility Residency Program.</t>
  </si>
  <si>
    <t>Moved from 60.0573 to 61.1304</t>
  </si>
  <si>
    <t>Rheumatology Residency Program.</t>
  </si>
  <si>
    <t>Moved from 60.0574 to 61.0816</t>
  </si>
  <si>
    <t>Sleep Medicine Residency Program.</t>
  </si>
  <si>
    <t>Moved from 60.0575 to 61.0212</t>
  </si>
  <si>
    <t>Spinal Cord Injury Medicine Residency Program.</t>
  </si>
  <si>
    <t>Moved from 60.0576 to 61.2002</t>
  </si>
  <si>
    <t>Sports Medicine Residency Program.</t>
  </si>
  <si>
    <t>Moved from 60.0577 to 61.0213</t>
  </si>
  <si>
    <t>Surgery of the Hand Residency Program.</t>
  </si>
  <si>
    <t>Moved from 60.0578 to 61.0214</t>
  </si>
  <si>
    <t>Surgical Critical Care Residency Program.</t>
  </si>
  <si>
    <t>Moved from 60.0579 to 61.2706</t>
  </si>
  <si>
    <t>Therapeutic Radiologic Physics Residency Program.</t>
  </si>
  <si>
    <t>Moved from 60.0580 to 61.2611</t>
  </si>
  <si>
    <t>Transplant Hepatology Residency Program.</t>
  </si>
  <si>
    <t>Moved from 60.0581 to 61.0818</t>
  </si>
  <si>
    <t>Undersea and Hyperbaric Medicine Residency Program.</t>
  </si>
  <si>
    <t>Moved from 60.0582 to 61.0216</t>
  </si>
  <si>
    <t>Vascular and Interventional Radiology Residency Program.</t>
  </si>
  <si>
    <t>Moved from 60.0583 to 61.2612</t>
  </si>
  <si>
    <t>Vascular Neurology Residency Program.</t>
  </si>
  <si>
    <t>Moved from 60.0584 to 61.1107</t>
  </si>
  <si>
    <t>Medical Residency Programs - Subspecialty Certificates, Other.</t>
  </si>
  <si>
    <t>Podiatric Medicine Residency Programs.</t>
  </si>
  <si>
    <t>Moved from 60.06 to 61.22</t>
  </si>
  <si>
    <t>Podiatric Medicine and Surgery - 24 Residency Program.</t>
  </si>
  <si>
    <t>Deleted, Report under 61.2201</t>
  </si>
  <si>
    <t>Podiatric Medicine and Surgery - 36 Residency Program.</t>
  </si>
  <si>
    <t>Nurse Practitioner Residency/Fellowship Programs.</t>
  </si>
  <si>
    <t>Instructional content for this group of programs is defined in codes 60.0701 - 60.0799. These CIP codes are not valid for IPEDS reporting.</t>
  </si>
  <si>
    <t>Nurse Practitioner Residency/Fellowship Program, General.</t>
  </si>
  <si>
    <t>A residency or fellowship program for licensed nurse practitioners that provides advanced didactic and clinical training in nursing. This CIP Code is not valid for IPEDS reporting.</t>
  </si>
  <si>
    <t>Combined Nurse Practitioner Residency/Fellowship Program.</t>
  </si>
  <si>
    <t>A residency or fellowship program for licensed nurse practitioners that provides advanced didactic and clinical training in two or more nursing specialties. This CIP Code is not valid for IPEDS reporting.</t>
  </si>
  <si>
    <t>Acute Care Nurse Practitioner Residency/Fellowship Program.</t>
  </si>
  <si>
    <t>A residency or fellowship program for licensed nurse practitioners that provides advanced didactic and clinical training in acute care medicine. This CIP Code is not valid for IPEDS reporting.</t>
  </si>
  <si>
    <t>Adult/Gerontology Acute Care Nurse Practitioner Residency/Fellowship Program.</t>
  </si>
  <si>
    <t>A residency or fellowship program for licensed nurse practitioners that provides advanced didactic and clinical training in adult/gerontology acute care medicine. This CIP Code is not valid for IPEDS reporting.</t>
  </si>
  <si>
    <t>Adult/Gerontology Critical Care Nurse Practitioner Residency/Fellowship Program.</t>
  </si>
  <si>
    <t>A residency or fellowship program for licensed nurse practitioners that provides advanced didactic and clinical training in adult/gerontology critical care medicine. This CIP Code is not valid for IPEDS reporting.</t>
  </si>
  <si>
    <t>Cardiology/Cardiovascular Nurse Practitioner Residency/Fellowship Program.</t>
  </si>
  <si>
    <t>A residency or fellowship program for licensed nurse practitioners that provides advanced didactic and clinical training in cardiology and cardiovascular medicine. This CIP Code is not valid for IPEDS reporting.</t>
  </si>
  <si>
    <t>Clinical Informatics Nurse Practitioner Residency/Fellowship Program.</t>
  </si>
  <si>
    <t>A residency or fellowship program for licensed nurse practitioners that provides advanced didactic and clinical training in clinical informatics. This CIP Code is not valid for IPEDS reporting.</t>
  </si>
  <si>
    <t>Dermatology Nurse Practitioner Residency/Fellowship Program.</t>
  </si>
  <si>
    <t>A residency or fellowship program for licensed nurse practitioners that provides advanced didactic and clinical training in dermatology. This CIP Code is not valid for IPEDS reporting.</t>
  </si>
  <si>
    <t>Developmental and Behavioral Pediatrics Nurse Practitioner Residency/Fellowship Program.</t>
  </si>
  <si>
    <t>A residency or fellowship program for licensed nurse practitioners that provides advanced didactic and clinical training in developmental and behavioral pediatrics. This CIP Code is not valid for IPEDS reporting.</t>
  </si>
  <si>
    <t>Diabetes Nurse Practitioner Residency/Fellowship Program.</t>
  </si>
  <si>
    <t>A residency or fellowship program for licensed nurse practitioners that provides advanced didactic and clinical training in diabetology and metabolic disorders. This CIP Code is not valid for IPEDS reporting.</t>
  </si>
  <si>
    <t>Emergency Medicine Nurse Practitioner Residency/Fellowship Program.</t>
  </si>
  <si>
    <t>A residency or fellowship program for licensed nurse practitioners that provides advanced didactic and clinical training in emergency medicine. This CIP Code is not valid for IPEDS reporting.</t>
  </si>
  <si>
    <t>Endocrinology Nurse Practitioner Residency/Fellowship Program.</t>
  </si>
  <si>
    <t>A residency or fellowship program for licensed nurse practitioners that provides advanced didactic and clinical training in endocrinology. This CIP Code is not valid for IPEDS reporting.</t>
  </si>
  <si>
    <t>Family Medicine Nurse Practitioner Residency/Fellowship Program.</t>
  </si>
  <si>
    <t>A residency or fellowship program for licensed nurse practitioners that provides advanced didactic and clinical training in family medicine. This CIP Code is not valid for IPEDS reporting.</t>
  </si>
  <si>
    <t>Gastroenterology and Hepatology Nurse Practitioner Residency/Fellowship Program.</t>
  </si>
  <si>
    <t>A residency or fellowship program for licensed nurse practitioners that provides advanced didactic and clinical training in gastroenterology and hepatology. This CIP Code is not valid for IPEDS reporting.</t>
  </si>
  <si>
    <t>Gastroenterology Nurse Practitioner Residency/Fellowship Program.</t>
  </si>
  <si>
    <t>A residency or fellowship program for licensed nurse practitioners that provides advanced didactic and clinical training in gastroenterology. This CIP Code is not valid for IPEDS reporting.</t>
  </si>
  <si>
    <t>Genetics Nurse Practitioner Residency/Fellowship Program.</t>
  </si>
  <si>
    <t>A residency or fellowship program for licensed nurse practitioners that provides advanced didactic and clinical training in genetic counseling and disorders. This CIP Code is not valid for IPEDS reporting.</t>
  </si>
  <si>
    <t>Gerontology Nurse Practitioner Residency/Fellowship Program.</t>
  </si>
  <si>
    <t>A residency or fellowship program for licensed nurse practitioners that provides advanced didactic and clinical training in gerontology. This CIP Code is not valid for IPEDS reporting.</t>
  </si>
  <si>
    <t>Global Health Nurse Practitioner Residency/Fellowship Program.</t>
  </si>
  <si>
    <t>A residency or fellowship program for licensed nurse practitioners that provides advanced didactic and clinical training in global health. This CIP Code is not valid for IPEDS reporting.</t>
  </si>
  <si>
    <t>Hematology-Oncology Nurse Practitioner Residency/Fellowship Program.</t>
  </si>
  <si>
    <t>A residency or fellowship program for licensed nurse practitioners that provides advanced didactic and clinical training in hematology and oncology. This CIP Code is not valid for IPEDS reporting.</t>
  </si>
  <si>
    <t>Hepatology Nurse Practitioner Residency/Fellowship Program.</t>
  </si>
  <si>
    <t>A residency or fellowship program for licensed nurse practitioners that provides advanced didactic and clinical training in hepatology. This CIP Code is not valid for IPEDS reporting.</t>
  </si>
  <si>
    <t>Home-Based Primary Care Nurse Practitioner Residency/Fellowship Program.</t>
  </si>
  <si>
    <t>A residency or fellowship program for licensed nurse practitioners that provides advanced didactic and clinical training in home-based primary care. This CIP Code is not valid for IPEDS reporting.</t>
  </si>
  <si>
    <t>Hospice and Palliative Medicine Nurse Practitioner Residency/Fellowship Program.</t>
  </si>
  <si>
    <t>A residency or fellowship program for licensed nurse practitioners that provides advanced didactic and clinical training in hospice and palliative medicine. This CIP Code is not valid for IPEDS reporting.</t>
  </si>
  <si>
    <t>Hospital Medicine Nurse Practitioner Residency/Fellowship Program.</t>
  </si>
  <si>
    <t>A residency or fellowship program for licensed nurse practitioners that provides advanced didactic and clinical training in hospital medicine. This CIP Code is not valid for IPEDS reporting.</t>
  </si>
  <si>
    <t>Infectious Diseases Nurse Practitioner Residency/Fellowship Program.</t>
  </si>
  <si>
    <t>A residency or fellowship program for licensed nurse practitioners that provides advanced didactic and clinical training in infectious diseases. This CIP Code is not valid for IPEDS reporting.</t>
  </si>
  <si>
    <t>Neonatal Nurse Practitioner Residency/Fellowship Program.</t>
  </si>
  <si>
    <t>A residency or fellowship program for licensed nurse practitioners that provides advanced didactic and clinical training in neonatology. This CIP Code is not valid for IPEDS reporting.</t>
  </si>
  <si>
    <t>Nephrology Nurse Practitioner Residency/Fellowship Program.</t>
  </si>
  <si>
    <t>A residency or fellowship program for licensed nurse practitioners that provides advanced didactic and clinical training in nephrology. This CIP Code is not valid for IPEDS reporting.</t>
  </si>
  <si>
    <t>Neurology Nurse Practitioner Residency/Fellowship Program.</t>
  </si>
  <si>
    <t>A residency or fellowship program for licensed nurse practitioners that provides advanced didactic and clinical training in neurology. This CIP Code is not valid for IPEDS reporting.</t>
  </si>
  <si>
    <t>Neuroscience Nurse Practitioner Residency/Fellowship Program.</t>
  </si>
  <si>
    <t>A residency or fellowship program for licensed nurse practitioners that provides advanced didactic and clinical training in neuroscience. This CIP Code is not valid for IPEDS reporting.</t>
  </si>
  <si>
    <t>Obstetrics and Gynecology Nurse Practitioner Residency/Fellowship Program.</t>
  </si>
  <si>
    <t>A residency or fellowship program for licensed nurse practitioners that provides advanced didactic and clinical training in obstetrics and gynecology. This CIP Code is not valid for IPEDS reporting.</t>
  </si>
  <si>
    <t>Occupational Health Nurse Practitioner Residency/Fellowship Program.</t>
  </si>
  <si>
    <t>A residency or fellowship program for licensed nurse practitioners that provides advanced didactic and clinical training in occupational health. This CIP Code is not valid for IPEDS reporting.</t>
  </si>
  <si>
    <t>Orthopedic Nurse Practitioner Residency/Fellowship Program.</t>
  </si>
  <si>
    <t>A residency or fellowship program for licensed nurse practitioners that provides advanced didactic and clinical training in orthopedics. This CIP Code is not valid for IPEDS reporting.</t>
  </si>
  <si>
    <t>Orthopedic Surgery Nurse Practitioner Residency/Fellowship Program.</t>
  </si>
  <si>
    <t>A residency or fellowship program for licensed nurse practitioners that provides advanced didactic and clinical training in orthopedic surgery. This CIP Code is not valid for IPEDS reporting.</t>
  </si>
  <si>
    <t>Pain Management Nurse Practitioner Residency/Fellowship Program.</t>
  </si>
  <si>
    <t>A residency or fellowship program for licensed nurse practitioners that provides advanced didactic and clinical training in pain management. This CIP Code is not valid for IPEDS reporting.</t>
  </si>
  <si>
    <t>Palliative Care Nurse Practitioner Residency/Fellowship Program.</t>
  </si>
  <si>
    <t>A residency or fellowship program for licensed nurse practitioners that provides advanced didactic and clinical training in palliative care. This CIP Code is not valid for IPEDS reporting.</t>
  </si>
  <si>
    <t>Pediatric Hematology-Oncology Nurse Practitioner Residency/Fellowship Program.</t>
  </si>
  <si>
    <t>A residency or fellowship program for licensed nurse practitioners that provides advanced didactic and clinical training in pediatric hematology and oncology. This CIP Code is not valid for IPEDS reporting.</t>
  </si>
  <si>
    <t>Pediatric Nurse Practitioner Residency/Fellowship Program.</t>
  </si>
  <si>
    <t>A residency or fellowship program for licensed nurse practitioners that provides advanced didactic and clinical training in pediatrics. This CIP Code is not valid for IPEDS reporting.</t>
  </si>
  <si>
    <t>Pediatric Rehabilitation Nurse Practitioner Residency/Fellowship Program.</t>
  </si>
  <si>
    <t>A residency or fellowship program for licensed nurse practitioners that provides advanced didactic and clinical training in pediatric rehabilitation. This CIP Code is not valid for IPEDS reporting.</t>
  </si>
  <si>
    <t>Psychiatric/Mental Health Nurse Practitioner Residency/Fellowship Program.</t>
  </si>
  <si>
    <t>A residency or fellowship program for licensed nurse practitioners that provides advanced didactic and clinical training in psychiatric and mental health. This CIP Code is not valid for IPEDS reporting.</t>
  </si>
  <si>
    <t>Public/Community Health Nurse Practitioner Residency/Fellowship Program.</t>
  </si>
  <si>
    <t>A residency or fellowship program for licensed nurse practitioners that provides advanced didactic and clinical training in public or community health. This CIP Code is not valid for IPEDS reporting.</t>
  </si>
  <si>
    <t>Pulmonary Nurse Practitioner Residency/Fellowship Program.</t>
  </si>
  <si>
    <t>A residency or fellowship program for licensed nurse practitioners that provides advanced didactic and clinical training in pulmonology. This CIP Code is not valid for IPEDS reporting.</t>
  </si>
  <si>
    <t>Rheumatology Nurse Practitioner Residency/Fellowship Program.</t>
  </si>
  <si>
    <t>A residency or fellowship program for licensed nurse practitioners that provides advanced didactic and clinical training in rheumatology. This CIP Code is not valid for IPEDS reporting.</t>
  </si>
  <si>
    <t>Rural Health Nurse Practitioner Residency/Fellowship Program.</t>
  </si>
  <si>
    <t>A residency or fellowship program for licensed nurse practitioners that provides advanced didactic and clinical training in rural health. This CIP Code is not valid for IPEDS reporting.</t>
  </si>
  <si>
    <t>Sleep Medicine Nurse Practitioner Residency/Fellowship Program.</t>
  </si>
  <si>
    <t>A residency or fellowship program for licensed nurse practitioners that provides advanced didactic and clinical training in sleep medicine. This CIP Code is not valid for IPEDS reporting.</t>
  </si>
  <si>
    <t>Surgical and Critical Care Nurse Practitioner Residency/Fellowship Program.</t>
  </si>
  <si>
    <t>A residency or fellowship program for licensed nurse practitioners that provides advanced didactic and clinical training in surgical and critical care medicine. This CIP Code is not valid for IPEDS reporting.</t>
  </si>
  <si>
    <t>Surgical Wound and Reconstruction Nurse Practitioner Residency/Fellowship Program.</t>
  </si>
  <si>
    <t>A residency or fellowship program for licensed nurse practitioners that provides advanced didactic and clinical training in surgical wound care and reconstruction. This CIP Code is not valid for IPEDS reporting.</t>
  </si>
  <si>
    <t>Transplantation Nurse Practitioner Residency/Fellowship Program.</t>
  </si>
  <si>
    <t>A residency or fellowship program for licensed nurse practitioners that provides advanced didactic and clinical training in transplantology. This CIP Code is not valid for IPEDS reporting.</t>
  </si>
  <si>
    <t>Trauma and Critical Care Nurse Practitioner Residency/Fellowship Program.</t>
  </si>
  <si>
    <t>A residency or fellowship program for licensed nurse practitioners that provides advanced didactic and clinical training in trauma and critical care medicine. This CIP Code is not valid for IPEDS reporting.</t>
  </si>
  <si>
    <t>Urgent Care Nurse Practitioner Residency/Fellowship Program.</t>
  </si>
  <si>
    <t>A residency or fellowship program for licensed nurse practitioners that provides advanced didactic and clinical training in urgent care medicine. This CIP Code is not valid for IPEDS reporting.</t>
  </si>
  <si>
    <t>Urology Nurse Practitioner Residency/Fellowship Program.</t>
  </si>
  <si>
    <t>A residency or fellowship program for licensed nurse practitioners that provides advanced didactic and clinical training in urology. This CIP Code is not valid for IPEDS reporting.</t>
  </si>
  <si>
    <t>Women's Health Nurse Practitioner Residency/Fellowship Program.</t>
  </si>
  <si>
    <t>A residency or fellowship program for licensed nurse practitioners that provides advanced didactic and clinical training in women's health. This CIP Code is not valid for IPEDS reporting.</t>
  </si>
  <si>
    <t>Wound Care Nurse Practitioner Residency/Fellowship Program.</t>
  </si>
  <si>
    <t>A residency or fellowship program for licensed nurse practitioners that provides advanced didactic and clinical training in wound care. This CIP Code is not valid for IPEDS reporting.</t>
  </si>
  <si>
    <t>Nurse Practitioner Residency/Fellowship Program, Other.</t>
  </si>
  <si>
    <t>Any residency or fellowship program for nurse practitioners not listed above. This CIP code is not valid for IPEDS reporting.</t>
  </si>
  <si>
    <t>Pharmacy Residency/Fellowship Programs.</t>
  </si>
  <si>
    <t>Instructional content for this group of programs is defined in codes 60.0801 - 60.0899. These CIP codes are not valid for IPEDS reporting.</t>
  </si>
  <si>
    <t>Pharmacy Residency/Fellowship Program, General.</t>
  </si>
  <si>
    <t>A residency or fellowship program for licensed pharmacists that provides advanced training in pharmacy. This CIP Code is not valid for IPEDS reporting.</t>
  </si>
  <si>
    <t>Combined Pharmacy Residency/Fellowship Program.</t>
  </si>
  <si>
    <t>A residency or fellowship program for licensed pharmacists that provides advanced training in two or more pharmacy specialties. This CIP Code is not valid for IPEDS reporting.</t>
  </si>
  <si>
    <t>Ambulatory Care Pharmacy Residency/Fellowship Program.</t>
  </si>
  <si>
    <t>A residency or fellowship program for licensed pharmacists that provides advanced training in ambulatory care pharmacy. This CIP Code is not valid for IPEDS reporting.</t>
  </si>
  <si>
    <t>Cardiology Pharmacy Residency/Fellowship Program.</t>
  </si>
  <si>
    <t>A residency or fellowship program for licensed pharmacists that provides advanced training in cardiology pharmacy. This CIP Code is not valid for IPEDS reporting.</t>
  </si>
  <si>
    <t>Clinical Pharmacogenomics Pharmacy Residency/Fellowship Program.</t>
  </si>
  <si>
    <t>A residency or fellowship program for licensed pharmacists that provides advanced training in clinical pharmacogenomics. This CIP Code is not valid for IPEDS reporting.</t>
  </si>
  <si>
    <t>Examples: - Biologics/Pharmacogenomics Pharmacy Residency Program</t>
  </si>
  <si>
    <t>Community/Community-Based Pharmacy Residency/Fellowship Program.</t>
  </si>
  <si>
    <t>A residency or fellowship program for licensed pharmacists that provides advanced training in community or community-based pharmacy. This CIP Code is not valid for IPEDS reporting.</t>
  </si>
  <si>
    <t>Corporate Pharmacy Leadership Residency/Fellowship Program.</t>
  </si>
  <si>
    <t>A residency or fellowship program for licensed pharmacists that provides advanced training in corporate pharmacy leadership. This CIP Code is not valid for IPEDS reporting.</t>
  </si>
  <si>
    <t>Critical Care Pharmacy Residency/Fellowship Program.</t>
  </si>
  <si>
    <t>A residency or fellowship program for licensed pharmacists that provides advanced training in critical care pharmacy. This CIP Code is not valid for IPEDS reporting.</t>
  </si>
  <si>
    <t>Drug Information Pharmacy Residency/Fellowship Program</t>
  </si>
  <si>
    <t>A residency or fellowship program for licensed pharmacists that provides advanced training in drug information. This CIP Code is not valid for IPEDS reporting.</t>
  </si>
  <si>
    <t>Emergency Medicine Pharmacy Residency/Fellowship Program.</t>
  </si>
  <si>
    <t>A residency or fellowship program for licensed pharmacists that provides advanced training in emergency medicine pharmacy. This CIP Code is not valid for IPEDS reporting.</t>
  </si>
  <si>
    <t>Family Medicine Pharmacy Residency/Fellowship Program.</t>
  </si>
  <si>
    <t>A residency or fellowship program for licensed pharmacists that provides advanced training in family medicine pharmacy. This CIP Code is not valid for IPEDS reporting.</t>
  </si>
  <si>
    <t>Geriatric Pharmacy Residency/Fellowship Program.</t>
  </si>
  <si>
    <t>A residency or fellowship program for licensed pharmacists that provides advanced training in geriatric pharmacy. This CIP Code is not valid for IPEDS reporting.</t>
  </si>
  <si>
    <t>Health System Medication Management Pharmacy Residency/Fellowship Program.</t>
  </si>
  <si>
    <t>A residency or fellowship program for licensed pharmacists that provides advanced training in health system medication management. This CIP Code is not valid for IPEDS reporting.</t>
  </si>
  <si>
    <t>Health System Pharmacy Administration and Leadership Residency/Fellowship Program.</t>
  </si>
  <si>
    <t>A residency or fellowship program for licensed pharmacists that provides advanced training in health system pharmacy administration and leadership. This CIP Code is not valid for IPEDS reporting.</t>
  </si>
  <si>
    <t>Infectious Diseases Pharmacy Residency/Fellowship Program.</t>
  </si>
  <si>
    <t>A residency or fellowship program for licensed pharmacists that provides advanced training in infectious diseases pharmacy. This CIP Code is not valid for IPEDS reporting.</t>
  </si>
  <si>
    <t>Examples: - HIV Pharmacy Residency Program</t>
  </si>
  <si>
    <t>Internal Medicine Pharmacy Residency/Fellowship Program.</t>
  </si>
  <si>
    <t>A residency or fellowship program for licensed pharmacists that provides advanced training in internal medicine pharmacy. This CIP Code is not valid for IPEDS reporting.</t>
  </si>
  <si>
    <t>Investigational Drugs and Research Pharmacy Residency/Fellowship Program.</t>
  </si>
  <si>
    <t>A residency or fellowship program for licensed pharmacists that provides advanced training in investigational drugs and research. This CIP Code is not valid for IPEDS reporting.</t>
  </si>
  <si>
    <t>Managed Care Pharmacy Residency/Fellowship Program.</t>
  </si>
  <si>
    <t>A residency or fellowship program for licensed pharmacists that provides advanced training in managed care pharmacy. This CIP Code is not valid for IPEDS reporting.</t>
  </si>
  <si>
    <t>Medication Systems and Operations Pharmacy Residency/Fellowship Program.</t>
  </si>
  <si>
    <t>A residency or fellowship program for licensed pharmacists that provides advanced training in medication systems and operations. This CIP Code is not valid for IPEDS reporting.</t>
  </si>
  <si>
    <t>Medication-Use Safety Pharmacy Residency/Fellowship Program.</t>
  </si>
  <si>
    <t>A residency or fellowship program for licensed pharmacists that provides advanced training in medication-use safety. This CIP Code is not valid for IPEDS reporting.</t>
  </si>
  <si>
    <t>Neonatal Pharmacy Residency/Fellowship Program.</t>
  </si>
  <si>
    <t>A residency or fellowship program for licensed pharmacists that provides advanced training in neonatal pharmacy. This CIP Code is not valid for IPEDS reporting.</t>
  </si>
  <si>
    <t>Nephrology Pharmacy Residency/Fellowship Program.</t>
  </si>
  <si>
    <t>A residency or fellowship program for licensed pharmacists that provides advanced training in nephrology pharmacy. This CIP Code is not valid for IPEDS reporting.</t>
  </si>
  <si>
    <t>Neurology Pharmacy Residency/Fellowship Program.</t>
  </si>
  <si>
    <t>A residency or fellowship program for licensed pharmacists that provides advanced training in neurology pharmacy. This CIP Code is not valid for IPEDS reporting.</t>
  </si>
  <si>
    <t>Nuclear Pharmacy Residency/Fellowship Program.</t>
  </si>
  <si>
    <t>A residency or fellowship program for licensed pharmacists that provides advanced training in nuclear pharmacy. This CIP Code is not valid for IPEDS reporting.</t>
  </si>
  <si>
    <t>Nutrition Support Pharmacy Residency/Fellowship Program.</t>
  </si>
  <si>
    <t>A residency or fellowship program for licensed pharmacists that provides advanced training in nutrition support. This CIP Code is not valid for IPEDS reporting.</t>
  </si>
  <si>
    <t>Oncology Pharmacy Residency/Fellowship Program.</t>
  </si>
  <si>
    <t>A residency or fellowship program for licensed pharmacists that provides advanced training in oncology pharmacy. This CIP Code is not valid for IPEDS reporting.</t>
  </si>
  <si>
    <t>Palliative Care/Pain Management Pharmacy Residency/Fellowship Program.</t>
  </si>
  <si>
    <t>A residency or fellowship program for licensed pharmacists that provides advanced training in palliative care and pain management. This CIP Code is not valid for IPEDS reporting.</t>
  </si>
  <si>
    <t>Pediatric Pharmacy Residency/Fellowship Program.</t>
  </si>
  <si>
    <t>A residency or fellowship program for licensed pharmacists that provides advanced training in pediatric pharmacy. This CIP Code is not valid for IPEDS reporting.</t>
  </si>
  <si>
    <t>Pharmacotherapy Pharmacy Residency/Fellowship Program.</t>
  </si>
  <si>
    <t>A residency or fellowship program for licensed pharmacists that provides advanced training in pharmacotherapy. This CIP Code is not valid for IPEDS reporting.</t>
  </si>
  <si>
    <t>Pharmacy Informatics Pharmacy Residency/Fellowship Program.</t>
  </si>
  <si>
    <t>A residency or fellowship program for licensed pharmacists that provides advanced training in pharmacy informatics. This CIP Code is not valid for IPEDS reporting.</t>
  </si>
  <si>
    <t>Examples: - Pharmacoeconomics and Outcomes Research Pharmacy Residency Program</t>
  </si>
  <si>
    <t>Psychiatric Pharmacy Residency/Fellowship Program.</t>
  </si>
  <si>
    <t>A residency or fellowship program for licensed pharmacists that provides advanced training in psychiatric pharmacy. This CIP Code is not valid for IPEDS reporting.</t>
  </si>
  <si>
    <t>Transplantation Pharmacy Residency/Fellowship Program.</t>
  </si>
  <si>
    <t>A residency or fellowship program for licensed pharmacists that provides advanced training in transplantation pharmacy. This CIP Code is not valid for IPEDS reporting.</t>
  </si>
  <si>
    <t>Examples: - Solid Organ Transplant Pharmacy Residency Program, - Transplantional/Immunology Pharmacy Residency Program</t>
  </si>
  <si>
    <t>Pharmacy Residency Programs, Other.</t>
  </si>
  <si>
    <t>Any residency or fellowship program in pharmacy not listed above. This CIP code is not valid for IPEDS reporting.</t>
  </si>
  <si>
    <t>Physician Assistant Residency/Fellowship Programs.</t>
  </si>
  <si>
    <t>Instructional content for this group of programs is defined in codes 60.0901 - 60.0999. These CIP codes are not valid for IPEDS reporting.</t>
  </si>
  <si>
    <t>Physician Assistant Residency/Fellowship Program, General.</t>
  </si>
  <si>
    <t>A residency or fellowship program for licensed physician associates/assistants that provides advanced training in medicine. This CIP Code is not valid for IPEDS reporting.</t>
  </si>
  <si>
    <t>Examples: - Physician Associate Residency/Fellowship Program, General.</t>
  </si>
  <si>
    <t>Combined Physician Assistant Residency/Fellowship Program.</t>
  </si>
  <si>
    <t>A residency or fellowship program for licensed physician associates/assistants that provides advanced training in two or more medical or surgical specialties. This CIP Code is not valid for IPEDS reporting.</t>
  </si>
  <si>
    <t>Examples: - Combined Physician Associate Residency/Fellowship Program.</t>
  </si>
  <si>
    <t>Acute Care Medicine Physician Assistant Residency/Fellowship Program.</t>
  </si>
  <si>
    <t>A residency or fellowship program for licensed physician associates/assistants that provides advanced training in acute care medicine. This CIP Code is not valid for IPEDS reporting.</t>
  </si>
  <si>
    <t>Examples: - Acute Care Medicine Physician Associate Residency/Fellowship Program.</t>
  </si>
  <si>
    <t>Acute Care Surgery Physician Assistant Residency/Fellowship Program.</t>
  </si>
  <si>
    <t>A residency or fellowship program for licensed physician associates/assistants that provides advanced training in acute care surgery. This CIP Code is not valid for IPEDS reporting.</t>
  </si>
  <si>
    <t>Examples: - Acute Care Surgery Physician Associate Residency/Fellowship Program.</t>
  </si>
  <si>
    <t>Cardiology Physician Assistant Residency/Fellowship Program.</t>
  </si>
  <si>
    <t>A residency or fellowship program for licensed physician associates/assistants that provides advanced training in cardiology. This CIP Code is not valid for IPEDS reporting.</t>
  </si>
  <si>
    <t>Examples: - Cardiology Physician Associate Residency/Fellowship Program.</t>
  </si>
  <si>
    <t>Cardiothoracic Surgery Physician Assistant Residency/Fellowship Program.</t>
  </si>
  <si>
    <t>A residency or fellowship program for licensed physician associates/assistants that provides advanced training in cardiothoracic surgery. This CIP Code is not valid for IPEDS reporting.</t>
  </si>
  <si>
    <t>Examples: - Cardiothoracic Surgery Physician Associate Residency/Fellowship Program.</t>
  </si>
  <si>
    <t>Critical Care Physician Assistant Residency/Fellowship Program.</t>
  </si>
  <si>
    <t>A residency or fellowship program for licensed physician associates/assistants that provides advanced training in critical care medicine. This CIP Code is not valid for IPEDS reporting.</t>
  </si>
  <si>
    <t>Examples: - Critical Care Physician Associate Residency/Fellowship Program.</t>
  </si>
  <si>
    <t>Critical Care and Trauma Surgery Physician Assistant Residency/Fellowship Program.</t>
  </si>
  <si>
    <t>A residency or fellowship program for licensed physician associates/assistants that provides advanced training in critical care and trauma surgery. This CIP Code is not valid for IPEDS reporting.</t>
  </si>
  <si>
    <t>Examples: - Critical Care and Trauma Surgery Physician Associate Residency/Fellowship Program.</t>
  </si>
  <si>
    <t>Emergency Medicine Physician Assistant Residency/Fellowship Program.</t>
  </si>
  <si>
    <t>A residency or fellowship program for licensed physician associates/assistants that provides advanced training in emergency medicine. This CIP Code is not valid for IPEDS reporting.</t>
  </si>
  <si>
    <t>Examples: - Emergency Medicine Physician Associate Residency/Fellowship Program.</t>
  </si>
  <si>
    <t>ENT Surgery Physician Assistant Residency/Fellowship Program.</t>
  </si>
  <si>
    <t>A residency or fellowship program for licensed physician associates/assistants that provides advanced training in ENT (ears, nose, and throat) surgery. This CIP Code is not valid for IPEDS reporting.</t>
  </si>
  <si>
    <t>Examples: - ENT Surgery Physician Associate Residency/Fellowship Program.</t>
  </si>
  <si>
    <t>Family Medicine Physician Assistant Residency/Fellowship Program.</t>
  </si>
  <si>
    <t>A residency or fellowship program for licensed physician associates/assistants that provides advanced training in family medicine. This CIP Code is not valid for IPEDS reporting.</t>
  </si>
  <si>
    <t>Examples: - Family Medicine Physician Associate Residency/Fellowship Program.</t>
  </si>
  <si>
    <t>Geriatrics Physician Assistant Residency/Fellowship Program.</t>
  </si>
  <si>
    <t>A residency or fellowship program for licensed physician associates/assistants that provides advanced training in geriatrics. This CIP Code is not valid for IPEDS reporting.</t>
  </si>
  <si>
    <t>Examples: - Geriatrics Physician Associate Residency/Fellowship Program.</t>
  </si>
  <si>
    <t>Hematology-Oncology Physician Assistant Residency/Fellowship Program.</t>
  </si>
  <si>
    <t>A residency or fellowship program for licensed physician associates/assistants that provides advanced training in hematology and oncology. This CIP Code is not valid for IPEDS reporting.</t>
  </si>
  <si>
    <t>Examples: - Hematology-Oncology Physician Associate Residency/Fellowship Program.</t>
  </si>
  <si>
    <t>Hepatobiliary Surgery Physician Assistant Residency/Fellowship Program.</t>
  </si>
  <si>
    <t>A residency or fellowship program for licensed physician associates/assistants that provides advanced training in hepatobiliary surgery. This CIP Code is not valid for IPEDS reporting.</t>
  </si>
  <si>
    <t>Examples: - Hepatobiliary Surgery Physician Associate Residency/Fellowship Program.</t>
  </si>
  <si>
    <t>Hospitalist Physician Assistant Residency/Fellowship Program.</t>
  </si>
  <si>
    <t>A residency or fellowship program for licensed physician associates/assistants that provides advanced training in hospital medicine. This CIP Code is not valid for IPEDS reporting.</t>
  </si>
  <si>
    <t>Examples: - Hospitalist Physician Associate Residency/Fellowship Program.</t>
  </si>
  <si>
    <t>Neurosurgery Physician Assistant Residency/Fellowship Program.</t>
  </si>
  <si>
    <t>A residency or fellowship program for licensed physician associates/assistants that provides advanced training in neurosurgery. This CIP Code is not valid for IPEDS reporting.</t>
  </si>
  <si>
    <t>Examples: - Neurosurgery Physician Associate Residency/Fellowship Program.</t>
  </si>
  <si>
    <t>Orthopedic Surgery Physician Assistant Residency/Fellowship Program.</t>
  </si>
  <si>
    <t>A residency or fellowship program for licensed physician associates/assistants that provides advanced training in orthopedic surgery. This CIP Code is not valid for IPEDS reporting.</t>
  </si>
  <si>
    <t>Examples: - Orthopedic Surgery Physician Associate Residency/Fellowship Program.</t>
  </si>
  <si>
    <t>Pediatric Surgery Physician Assistant Residency/Fellowship Program.</t>
  </si>
  <si>
    <t>A residency or fellowship program for licensed physician associates/assistants that provides advanced training in pediatric surgery. This CIP Code is not valid for IPEDS reporting.</t>
  </si>
  <si>
    <t>Examples: - Pediatric Surgery Physician Associate Residency/Fellowship Program.</t>
  </si>
  <si>
    <t>Transplant Surgery Physician Assistant Residency/Fellowship Program.</t>
  </si>
  <si>
    <t>A residency or fellowship program for licensed physician associates/assistants that provides advanced training in transplant surgery. This CIP Code is not valid for IPEDS reporting.</t>
  </si>
  <si>
    <t>Examples: - Transplant Surgery Physician Associate Residency/Fellowship Program., - Abdominal Organ Transplantation Physician Associate Residency Program., - Abdominal Organ Transplantation Physician Assistant Residency Program.</t>
  </si>
  <si>
    <t>Urology Physician Assistant Residency/Fellowship Program.</t>
  </si>
  <si>
    <t>A residency or fellowship program for licensed physician associates/assistants that provides advanced training in urology. This CIP Code is not valid for IPEDS reporting.</t>
  </si>
  <si>
    <t>Examples: - Urology Physician Associate Residency/Fellowship Program.</t>
  </si>
  <si>
    <t>Physician Assistant Residency/Fellowship Program, Other.</t>
  </si>
  <si>
    <t>Any residency or fellowship program for physician associates/assistants not listed above. This CIP code is not valid for IPEDS reporting.</t>
  </si>
  <si>
    <t>Examples: - Physician Associate Residency/Fellowship Program, Other.</t>
  </si>
  <si>
    <t>Health Professions Residency/Fellowship Programs, Other.</t>
  </si>
  <si>
    <t>Instructional content is defined in code 60.9999. These CIP codes are not valid for IPEDS reporting.</t>
  </si>
  <si>
    <t>Any health professions residency or fellowship program not listed above. This CIP code is not valid for IPEDS reporting.</t>
  </si>
  <si>
    <t>MEDICAL RESIDENCY/FELLOWSHIP PROGRAMS.</t>
  </si>
  <si>
    <t>Programs that prepare allopathic physicians (MD), osteopathic physicians (DO), and podiatrists (DPM) for certification as practitioners of recognized medical specialties. These programs are approved and accredited by the Accreditation Council for Graduate Medical Education (ACGME) or the Council on Podiatric Medical Education (CPME) and require from one to seven years to complete, depending on the program. Residency programs that also result in the completion of an academic degree (e.g., MS, PhD), should be reported under one of the clinical sciences codes located in Series 26, 51.05, or 51.14, rather than in a residency code located in Series 61. These CIP Codes are not valid for IPEDS reporting.</t>
  </si>
  <si>
    <t>Combined Medical Residency/Fellowship Programs.</t>
  </si>
  <si>
    <t>Instructional content for this group of programs is defined in codes 61.0101 - 61.0199.</t>
  </si>
  <si>
    <t>Combined Medical Residency/Fellowship Program, General.</t>
  </si>
  <si>
    <t>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</si>
  <si>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Diagnostic Radiology/Nuclear Medicine Combined Specialty Program.</t>
  </si>
  <si>
    <t>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</si>
  <si>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Emergency Medicine/Anesthesiology Combined Specialty Program.</t>
  </si>
  <si>
    <t>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</si>
  <si>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Family Medicine/Emergency Medicine Combined Specialty Program.</t>
  </si>
  <si>
    <t>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</si>
  <si>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Family Medicine/Osteopathic Neuromusculoskeletal Medicine Combined Specialty Program.</t>
  </si>
  <si>
    <t>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</si>
  <si>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Family Medicine/Preventive Medicine Combined Specialty Program.</t>
  </si>
  <si>
    <t>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</si>
  <si>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Family Medicine/Psychiatry Combined Specialty Program.</t>
  </si>
  <si>
    <t>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</si>
  <si>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Medicine/Anesthesiology Combined Specialty Program.</t>
  </si>
  <si>
    <t>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</si>
  <si>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Medicine/Dermatology Combined Specialty Program.</t>
  </si>
  <si>
    <t>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</si>
  <si>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Medicine/Emergency Medicine Combined Specialty Program.</t>
  </si>
  <si>
    <t>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</si>
  <si>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Medicine/Emergency Medicine/Critical Care Medicine Combined Specialty Program.</t>
  </si>
  <si>
    <t>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</si>
  <si>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Medicine/Family Medicine Combined Specialty Program.</t>
  </si>
  <si>
    <t>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</si>
  <si>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Medicine/Medical Genetics and Genomics Combined Specialty Program.</t>
  </si>
  <si>
    <t>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</si>
  <si>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Medicine/Neurology Combined Specialty Program.</t>
  </si>
  <si>
    <t>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</si>
  <si>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Medicine/Pediatrics Combined Specialty Program.</t>
  </si>
  <si>
    <t>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</si>
  <si>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Medicine/Preventive Medicine Combined Specialty Program.</t>
  </si>
  <si>
    <t>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</si>
  <si>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Internal Medicine/Psychiatry Combined Specialty Program.</t>
  </si>
  <si>
    <t>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</si>
  <si>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Medical Genetics and Genomics/Maternal-Fetal Medicine Combined Specialty Program.</t>
  </si>
  <si>
    <t>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</si>
  <si>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Pediatrics/Anesthesiology Combined Specialty Program.</t>
  </si>
  <si>
    <t>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</si>
  <si>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Pediatrics/Emergency Medicine Combined Specialty Program.</t>
  </si>
  <si>
    <t>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</si>
  <si>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Pediatrics/Medical Genetics and Genomics Combined Specialty Program.</t>
  </si>
  <si>
    <t>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</si>
  <si>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Pediatrics/Physical Medicine &amp; Rehabilitation Combined Specialty Program.</t>
  </si>
  <si>
    <t>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</si>
  <si>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Pediatrics/Psychology/Child-Adolescent Psychology Combined Specialty Program.</t>
  </si>
  <si>
    <t>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</si>
  <si>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Psychiatry/Neurology Combined Specialty Program.</t>
  </si>
  <si>
    <t>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</si>
  <si>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Reproductive Endocrinology and Infertility/Medical Genetics and Genomics Combined Specialty Program.</t>
  </si>
  <si>
    <t>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</si>
  <si>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Combined Medical Residency/Fellowship Programs, Other.</t>
  </si>
  <si>
    <t>Any combined medical residency or fellowship program not listed above.</t>
  </si>
  <si>
    <t>Multiple-Pathway Medical Fellowship Programs.</t>
  </si>
  <si>
    <t>Instructional content for this group of programs is defined in codes 61.0202 - 61.0299.</t>
  </si>
  <si>
    <t>Critical Care Medicine Fellowship Program.</t>
  </si>
  <si>
    <t>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t>
  </si>
  <si>
    <t>Examples: - Critical Care Anesthesiology Residency Program</t>
  </si>
  <si>
    <t>Geriatric Medicine Fellowship Program.</t>
  </si>
  <si>
    <t>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t>
  </si>
  <si>
    <t>Health Policy Fellowship Program.</t>
  </si>
  <si>
    <t>A fellowship training program that prepares physicians to effect change within the health care system and advocate for the practice of medicine to ultimately shape the future health care landscape on both local and national levels. Requires prior completion of an accredited medical residency program. This CIP code is not valid for IPEDS reporting.</t>
  </si>
  <si>
    <t>Hospice and Palliative Medicine Fellowship Program.</t>
  </si>
  <si>
    <t>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t>
  </si>
  <si>
    <t>Integrative Medicine Fellowship Program.</t>
  </si>
  <si>
    <t>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t>
  </si>
  <si>
    <t>Examples: - Integrative Geriatric Fellowship Program, - Academic Integrative Health Fellowship Program, - Integrative Health and Medicine Fellowship Program, - Lifestyle Medicine Fellowship Program</t>
  </si>
  <si>
    <t>Medical Education Fellowship Program.</t>
  </si>
  <si>
    <t>A fellowship training program that prepares physicians to teach deliver, design, and evaluate courses and curricula for medical students, residents, and faculty. Requires prior completion of an accredited medical residency program. This CIP code is not valid for IPEDS reporting.</t>
  </si>
  <si>
    <t>51.3202 - Health Professions Education.</t>
  </si>
  <si>
    <t>Medical Toxicology Fellowship Program.</t>
  </si>
  <si>
    <t>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t>
  </si>
  <si>
    <t>Neuromuscular Medicine Fellowship Program.</t>
  </si>
  <si>
    <t>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t>
  </si>
  <si>
    <t>Pain Medicine Fellowship Program.</t>
  </si>
  <si>
    <t>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t>
  </si>
  <si>
    <t>51.1403 - Pain Management.</t>
  </si>
  <si>
    <t>Simulation Fellowship Program.</t>
  </si>
  <si>
    <t>A fellowship training program that prepares physicians to develop, implement, manage, and assess healthcare simulation-based activities and programs. Requires prior completion of an accredited medical residency program. This CIP code is not valid for IPEDS reporting.</t>
  </si>
  <si>
    <t>Sleep Medicine Fellowship Program.</t>
  </si>
  <si>
    <t>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t>
  </si>
  <si>
    <t>Sports Medicine Fellowship Program.</t>
  </si>
  <si>
    <t>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t>
  </si>
  <si>
    <t>Surgery of the Hand Fellowship Program.</t>
  </si>
  <si>
    <t>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t>
  </si>
  <si>
    <t>Examples: - Hand Surgery Residency Program</t>
  </si>
  <si>
    <t>Telemedicine Fellowship Program.</t>
  </si>
  <si>
    <t>A fellowship training program that prepares physicians to bring together technology and clinical medicine to enhance the overall delivery of medical care. Requires prior completion of an accredited medical residency program. This CIP code is not valid for IPEDS reporting.</t>
  </si>
  <si>
    <t>Examples: - Telehealth Residency Program</t>
  </si>
  <si>
    <t>Undersea and Hyperbaric Medicine Fellowship Program.</t>
  </si>
  <si>
    <t>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t>
  </si>
  <si>
    <t>Wilderness Medicine Fellowship Program.</t>
  </si>
  <si>
    <t>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t>
  </si>
  <si>
    <t>Women's Health Fellowship Program.</t>
  </si>
  <si>
    <t>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t>
  </si>
  <si>
    <t>Examples: - Global Women's Health Fellowship, - Sex and Gender Fellowship, - Women's Health Fellowship</t>
  </si>
  <si>
    <t>Multiple-Pathway Medical Fellowship Programs, Other.</t>
  </si>
  <si>
    <t>Any multiple-pathway medical fellowship program not listed above.</t>
  </si>
  <si>
    <t>Allergy and Immunology Residency/Fellowship Programs.</t>
  </si>
  <si>
    <t>Instructional content for this group of programs is defined in codes 61.0301 - 61.0399.</t>
  </si>
  <si>
    <t>Allergy and Immunology Fellowship Program.</t>
  </si>
  <si>
    <t>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t>
  </si>
  <si>
    <t>Allergy and Immunology Residency/Fellowship Programs, Other.</t>
  </si>
  <si>
    <t>Any residency or fellowship in allergy or immunology not listed above.</t>
  </si>
  <si>
    <t>Anesthesiology Residency/Fellowship Programs.</t>
  </si>
  <si>
    <t>Instructional content for this group of programs is defined in codes 61.0401 - 61.0499.</t>
  </si>
  <si>
    <t>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This CIP code is not valid for IPEDS reporting.</t>
  </si>
  <si>
    <t>Anesthesiology Residency/Fellowship Programs, Other.</t>
  </si>
  <si>
    <t>Any residency or fellowship program in anesthesiology not listed above.</t>
  </si>
  <si>
    <t>Dermatology Residency/Fellowship Programs.</t>
  </si>
  <si>
    <t>Instructional content for this group of programs is defined in codes 61.0501 - 61.0599.</t>
  </si>
  <si>
    <t>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 This CIP code is not valid for IPEDS reporting.</t>
  </si>
  <si>
    <t>Dermatopathology Fellowship Program.</t>
  </si>
  <si>
    <t>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t>
  </si>
  <si>
    <t>Pediatric Dermatology Fellowship Program.</t>
  </si>
  <si>
    <t>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t>
  </si>
  <si>
    <t>Dermatology Residency/Fellowship Programs, Other.</t>
  </si>
  <si>
    <t>Any residency or fellowship program in dermatology not listed above.</t>
  </si>
  <si>
    <t>Emergency Medicine Residency/Fellowship Programs.</t>
  </si>
  <si>
    <t>Instructional content for this group of programs is defined in codes 61.0601 - 61.0699.</t>
  </si>
  <si>
    <t>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This CIP code is not valid for IPEDS reporting.</t>
  </si>
  <si>
    <t>Disaster Medicine Fellowship Program.</t>
  </si>
  <si>
    <t>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t>
  </si>
  <si>
    <t>Examples: - Disaster Medicine and Emergency Management Fellowship</t>
  </si>
  <si>
    <t>Emergency Medical Services Fellowship Program.</t>
  </si>
  <si>
    <t>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t>
  </si>
  <si>
    <t>Emergency Medicine Residency/Fellowship Programs, Other.</t>
  </si>
  <si>
    <t>Any residency or fellowship program in emergency medicine not listed above.</t>
  </si>
  <si>
    <t>Family Medicine Residency/Fellowship Programs.</t>
  </si>
  <si>
    <t>Instructional content for this group of programs is defined in codes 61.0701 - 61.0799.</t>
  </si>
  <si>
    <t>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 This CIP code is not valid for IPEDS reporting.</t>
  </si>
  <si>
    <t>Family Medicine Residency/Fellowship Programs, Other.</t>
  </si>
  <si>
    <t>Any residency or fellowship program in family medicine not listed above.</t>
  </si>
  <si>
    <t>Internal Medicine Residency/Fellowship Programs.</t>
  </si>
  <si>
    <t>Instructional content for this group of programs is defined in codes 61.0801 - 61.0899.</t>
  </si>
  <si>
    <t>A residency training program that prepares physicians in the provision of general medical services to adult patients with a wide range of non-surgical clinical problems.  Includes instruction in behavioral aspects of diseases, patient and family counseling and practice management. This CIP code is not valid for IPEDS reporting.</t>
  </si>
  <si>
    <t>Cardiovascular Disease Fellowship Program.</t>
  </si>
  <si>
    <t>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t>
  </si>
  <si>
    <t>Examples: - Cardiology Fellowship Program</t>
  </si>
  <si>
    <t>Clinical Cardiac Electrophysiology Fellowship Program.</t>
  </si>
  <si>
    <t>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t>
  </si>
  <si>
    <t>Endocrinology, Diabetes, and Metabolism Fellowship Program.</t>
  </si>
  <si>
    <t>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t>
  </si>
  <si>
    <t>Examples: - Endocrinology and Metabolism Residency Program</t>
  </si>
  <si>
    <t>Gastroenterology Fellowship Program.</t>
  </si>
  <si>
    <t>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t>
  </si>
  <si>
    <t>Hematology Fellowship Program.</t>
  </si>
  <si>
    <t>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t>
  </si>
  <si>
    <t>Hematology-Oncology Fellowship Program.</t>
  </si>
  <si>
    <t>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t>
  </si>
  <si>
    <t>Infectious Disease Fellowship Program.</t>
  </si>
  <si>
    <t>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t>
  </si>
  <si>
    <t>Interventional Cardiology Fellowship Program.</t>
  </si>
  <si>
    <t>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t>
  </si>
  <si>
    <t>Nephrology Fellowship Program.</t>
  </si>
  <si>
    <t>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t>
  </si>
  <si>
    <t>Medical Oncology Fellowship Program.</t>
  </si>
  <si>
    <t>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t>
  </si>
  <si>
    <t>Pulmonary Disease Fellowship Program.</t>
  </si>
  <si>
    <t>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t>
  </si>
  <si>
    <t>Rheumatology Fellowship Program.</t>
  </si>
  <si>
    <t>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t>
  </si>
  <si>
    <t>Transplant Hepatology Fellowship Program.</t>
  </si>
  <si>
    <t>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t>
  </si>
  <si>
    <t>Internal Medicine Residency/Fellowship Programs, Other.</t>
  </si>
  <si>
    <t>Any residency or fellowship program in internal medicine not listed above.</t>
  </si>
  <si>
    <t>Medical Genetics and Genomics Residency/Fellowship Programs.</t>
  </si>
  <si>
    <t>Instructional content for this group of programs is defined in codes 61.0901 - 61.0999.</t>
  </si>
  <si>
    <t>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t>
  </si>
  <si>
    <t>Clinical Genetics and Genomics Residency Program.</t>
  </si>
  <si>
    <t>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t>
  </si>
  <si>
    <t>Laboratory Genetics and Genomics Residency Program.</t>
  </si>
  <si>
    <t>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t>
  </si>
  <si>
    <t>Examples: - Clinical Cytogenetics and Genomics Residency Program, - Clinical Molecular Genetics and Genomics Residency Program</t>
  </si>
  <si>
    <t>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t>
  </si>
  <si>
    <t>Medical Genetics and Genomics Residency/Fellowship Programs, Other.</t>
  </si>
  <si>
    <t>Any residency or fellowship program in medical genetics and genomics not listed above.</t>
  </si>
  <si>
    <t>Neurological Surgery Residency/Fellowship Programs.</t>
  </si>
  <si>
    <t>Instructional content for this group of programs is defined in codes 61.1001 - 61.1099.</t>
  </si>
  <si>
    <t>A residency training program that prepares physicians in the prevention, diagnosis, evaluation, treatment, critical care, and rehabilitation of disorders of the central, peripheral, and autonomic nervous systems, using operative and non-operative means; the evaluation and treatment of pathological processes that modify the function or activity of the nervous system; and the management of pain. This CIP code is not valid for IPEDS reporting.</t>
  </si>
  <si>
    <t>Examples: - Neurological Surgery/Neurosurgery Residency Program</t>
  </si>
  <si>
    <t>Neurological Surgery Residency/Fellowship Programs, Other.</t>
  </si>
  <si>
    <t>Any residency or fellowship program in neurological surgery not listed above.</t>
  </si>
  <si>
    <t>Neurology Residency/Fellowship Programs.</t>
  </si>
  <si>
    <t>Instructional content for this group of programs is defined in codes 61.1101 - 61.1199.</t>
  </si>
  <si>
    <t>A residency training program that prepares physicians in the diagnosis and treatment of all types of disease or impaired function of the brain, spinal cord, peripheral nerves, muscles and autonomic nervous system, as well as the blood vessels that relate to these structures. This CIP code is not valid for IPEDS reporting.</t>
  </si>
  <si>
    <t>A residency training program that prepares physicians in the diagnosis and management of neurologic disorders of the neonatal period, infancy, early childhood, and adolescence. Requires training in neurology with additional training in child neurology. This CIP code is not valid for IPEDS reporting.</t>
  </si>
  <si>
    <t>Examples: - Neurology with Special Qualifications in Child Neurology Residency Program, - Pediatric Neurology Residency Program</t>
  </si>
  <si>
    <t>Clinical Neurophysiology Fellowship Program.</t>
  </si>
  <si>
    <t>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t>
  </si>
  <si>
    <t>Epilepsy Fellowship Program.</t>
  </si>
  <si>
    <t>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t>
  </si>
  <si>
    <t>Headache Medicine Fellowship Program.</t>
  </si>
  <si>
    <t>A fellowship training program that prepares physicians in the diagnosis, treatment, and research of headache and related disorders. Requires prior completion of a residency program in neurology. This CIP code is not valid for IPEDS reporting.</t>
  </si>
  <si>
    <t>Neurodevelopmental Disabilities Fellowship Program.</t>
  </si>
  <si>
    <t>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t>
  </si>
  <si>
    <t>Vascular Neurology Fellowship Program.</t>
  </si>
  <si>
    <t>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t>
  </si>
  <si>
    <t>Neurology Residency/Fellowship Programs, Other.</t>
  </si>
  <si>
    <t>Any residency or fellowship program in neurology not listed above.</t>
  </si>
  <si>
    <t>Nuclear Medicine Residency/Fellowship Programs.</t>
  </si>
  <si>
    <t>Instructional content for this group of programs is defined in codes 61.1201 - 61.1299.</t>
  </si>
  <si>
    <t>A residency training program that prepares physicians to use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 This CIP code is not valid for IPEDS reporting.</t>
  </si>
  <si>
    <t>Nuclear Medicine Residency/Fellowship Programs, Other.</t>
  </si>
  <si>
    <t>Any residency or fellowship program in nuclear medicine not listed above.</t>
  </si>
  <si>
    <t>Obstetrics and Gynecology Residency/Fellowship Programs.</t>
  </si>
  <si>
    <t>Instructional content for this group of programs is defined in codes 61.1301 - 61.1399.</t>
  </si>
  <si>
    <t>A residency training program that prepares physicians in the diagnosis, prevention and treatment of diseases of women, especially those affecting the reproductive system, and the comprehensive care and treatment of women before, during and after childbirth. This CIP code is not valid for IPEDS reporting.</t>
  </si>
  <si>
    <t>Gynecologic Oncology Fellowship Program.</t>
  </si>
  <si>
    <t>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t>
  </si>
  <si>
    <t>Maternal and Fetal Medicine Fellowship Program.</t>
  </si>
  <si>
    <t>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t>
  </si>
  <si>
    <t>Reproductive Endocrinology/Infertility Fellowship Program.</t>
  </si>
  <si>
    <t>A fellowship training program that prepares physicians to manage complex problems relating to reproductive endocrinology and infertility. Requires prior completion of a residency program in obstetrics and gynecology. This CIP code is not valid for IPEDS reporting.</t>
  </si>
  <si>
    <t>Obstetrics and Gynecology Residency/Fellowship Programs, Other.</t>
  </si>
  <si>
    <t>Any residency or fellowship program in obstetrics and gynecology not listed above.</t>
  </si>
  <si>
    <t>Ophthalmology Residency/Fellowship Programs.</t>
  </si>
  <si>
    <t>Instructional content for this group of programs is defined in codes 61.1401 - 61.1499.</t>
  </si>
  <si>
    <t>A residency training program that prepares physicians in the diagnosis, prevention treatment of ophthalmic diseases and disorders, and ocular pathology procedures.  Includes instruction in eye surgery. This CIP code is not valid for IPEDS reporting.</t>
  </si>
  <si>
    <t>Ophthalmology Residency/Fellowship Programs, Other.</t>
  </si>
  <si>
    <t>Any residency or fellowship program in ophthalmology not listed above.</t>
  </si>
  <si>
    <t>Orthopedic Surgery Residency/Fellowship Programs.</t>
  </si>
  <si>
    <t>Instructional content for this group of programs is defined in codes 61.1501 - 61.1599.</t>
  </si>
  <si>
    <t>A residency training program that prepares physicians in the investigation, preservation, and restoration of the form and function of the extremities, spine and associated structures by medical, surgical and physical methods. This CIP code is not valid for IPEDS reporting.</t>
  </si>
  <si>
    <t>Examples: - Orthopedics Residency Program, - Adult Reconstructive Orthopedics Residency Program, - Orthopaedic Surgery Residency Program</t>
  </si>
  <si>
    <t>Musculoskeletal Oncology Fellowship Program.</t>
  </si>
  <si>
    <t>A fellowship training program that prepares physicians in the diagnosis and treatment of musculoskeletal neoplasm, and the application of cancer therapy regimes. This CIP code is not valid for IPEDS reporting.</t>
  </si>
  <si>
    <t>Orthopedic Sports Medicine Fellowship Program.</t>
  </si>
  <si>
    <t>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t>
  </si>
  <si>
    <t>Examples: - Orthopaedic Sports Medicine Residency Program</t>
  </si>
  <si>
    <t>Orthopedic Surgery of the Spine Fellowship Program.</t>
  </si>
  <si>
    <t>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t>
  </si>
  <si>
    <t>Pediatric Orthopedics Fellowship Program.</t>
  </si>
  <si>
    <t>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t>
  </si>
  <si>
    <t>Orthopedic Surgery Residency/Fellowship Programs, Other.</t>
  </si>
  <si>
    <t>Any residency or fellowship program in orthopedic surgery not listed above.</t>
  </si>
  <si>
    <t>Osteopathic Medicine Residency/Fellowship Programs.</t>
  </si>
  <si>
    <t>Instructional content for this group of programs is defined in codes 61.1601 - 61.1699.</t>
  </si>
  <si>
    <t>Osteopathic Neuromusculoskeletal Medicine Residency Program.</t>
  </si>
  <si>
    <t>A residency training program that prepares osteopathic (DO) physicians to perform osteopathic neuromusculoskeletal diagnosis and perform Osteopathic Manipulative Treatment (OMT). This CIP code is not valid for IPEDS reporting.</t>
  </si>
  <si>
    <t>Osteopathic Medicine Residency/Fellowship Programs, Other.</t>
  </si>
  <si>
    <t>Any residency or fellowship program in osteopathic medicine not listed above.</t>
  </si>
  <si>
    <t>Otolaryngology Residency/Fellowship Programs.</t>
  </si>
  <si>
    <t>Instructional content for this group of programs is defined in codes 61.1701 - 61.1799.</t>
  </si>
  <si>
    <t>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t>
  </si>
  <si>
    <t>Neurotology Fellowship Program.</t>
  </si>
  <si>
    <t>A fellowship training program that prepares physicians to treat diseases of the ear and temporal bone, including disorders of hearing and balance. Requires prior completion of a residency program in otolaryngology. This CIP code is not valid for IPEDS reporting.</t>
  </si>
  <si>
    <t>Pediatric Otolaryngology Fellowship Program.</t>
  </si>
  <si>
    <t>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t>
  </si>
  <si>
    <t>Otolaryngology Residency/Fellowship Programs, Other.</t>
  </si>
  <si>
    <t>Any residency or fellowship program in otolaryngology not listed above.</t>
  </si>
  <si>
    <t>Pathology Residency/Fellowship Programs.</t>
  </si>
  <si>
    <t>Instructional content for this group of programs is defined in codes 61.1801 - 61.1899.</t>
  </si>
  <si>
    <t>Combined Anatomic and Clinical Pathology Residency Program.</t>
  </si>
  <si>
    <t>A residency training program that prepares physicians in the clinical laboratory analysis and diagnosis of disease and anatomic abnormalities. Includes instruction in performing general autopsies, forensic medicine, laboratory management, and quality control. This CIP code is not valid for IPEDS reporting.</t>
  </si>
  <si>
    <t>Examples: - Anatomic Pathology Residency Program, - Clinical Pathology Residency Program, - Anatomic Pathology and Clinical Pathology Residency Program</t>
  </si>
  <si>
    <t>Anatomic Pathology Residency Program.</t>
  </si>
  <si>
    <t>A residency training program that prepares physicians in the diagnosis of disease and anatomic abnormalities. Includes instruction in autopsy pathology, cytology, diagnostic surgical pathology, forensic medicine, laboratory management, and quality control. This CIP code is not valid for IPEDS reporting.</t>
  </si>
  <si>
    <t>Clinical Pathology Residency Program.</t>
  </si>
  <si>
    <t>A residency training program that prepares physicians in the clinical laboratory analysis and diagnosis of disease. Includes instruction in performing clinical chemistry, cytogenetics, immunology, laboratory management, microbiology, molecular biology, quality control, serology, toxicology, and virology. This CIP code is not valid for IPEDS reporting.</t>
  </si>
  <si>
    <t>Blood Banking/Transfusion Medicine Fellowship Program.</t>
  </si>
  <si>
    <t>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t>
  </si>
  <si>
    <t>Examples: - Blood Banking Residency Program</t>
  </si>
  <si>
    <t>Chemical Pathology Fellowship Program.</t>
  </si>
  <si>
    <t>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t>
  </si>
  <si>
    <t>Cytopathology Fellowship Program.</t>
  </si>
  <si>
    <t>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t>
  </si>
  <si>
    <t>Forensic Pathology Fellowship Program.</t>
  </si>
  <si>
    <t>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t>
  </si>
  <si>
    <t>Hematological Pathology Fellowship Program.</t>
  </si>
  <si>
    <t>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t>
  </si>
  <si>
    <t>Examples: - Hematopathology</t>
  </si>
  <si>
    <t>Immunopathology Fellowship Program.</t>
  </si>
  <si>
    <t>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t>
  </si>
  <si>
    <t>Laboratory Medicine Fellowship Program.</t>
  </si>
  <si>
    <t>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t>
  </si>
  <si>
    <t>Medical Microbiology Fellowship Program.</t>
  </si>
  <si>
    <t>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t>
  </si>
  <si>
    <t>Molecular Genetic Pathology Fellowship Program.</t>
  </si>
  <si>
    <t>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t>
  </si>
  <si>
    <t>Neuropathology Fellowship Program.</t>
  </si>
  <si>
    <t>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t>
  </si>
  <si>
    <t>Pediatric Pathology Fellowship Program.</t>
  </si>
  <si>
    <t>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t>
  </si>
  <si>
    <t>Radioisotopic Pathology Fellowship Program.</t>
  </si>
  <si>
    <t>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t>
  </si>
  <si>
    <t>Pathology Residency/Fellowship Programs, Other.</t>
  </si>
  <si>
    <t>Any residency or fellowship program in pathology not listed above.</t>
  </si>
  <si>
    <t>Pediatrics Residency/Fellowship Programs.</t>
  </si>
  <si>
    <t>Instructional content for this group of programs is defined in codes 61.1901 - 61.1999.</t>
  </si>
  <si>
    <t>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This CIP code is not valid for IPEDS reporting.</t>
  </si>
  <si>
    <t>Adolescent Medicine Fellowship Program.</t>
  </si>
  <si>
    <t>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t>
  </si>
  <si>
    <t>Child Abuse Pediatrics Fellowship Program.</t>
  </si>
  <si>
    <t>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t>
  </si>
  <si>
    <t>Developmental-Behavioral Pediatrics Fellowship Program.</t>
  </si>
  <si>
    <t>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t>
  </si>
  <si>
    <t>Neonatal-Perinatal Medicine Fellowship Program.</t>
  </si>
  <si>
    <t>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t>
  </si>
  <si>
    <t>Pediatric Cardiology Fellowship Program.</t>
  </si>
  <si>
    <t>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t>
  </si>
  <si>
    <t>Pediatric Critical Care Medicine Fellowship Program.</t>
  </si>
  <si>
    <t>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t>
  </si>
  <si>
    <t>Pediatric Emergency Medicine Fellowship Program.</t>
  </si>
  <si>
    <t>A fellowship training program that prepares physicians to manage emergencies in infants and children. Requires prior completion of a residency program in emergency medicine or pediatrics. This CIP code is not valid for IPEDS reporting.</t>
  </si>
  <si>
    <t>Pediatric Endocrinology Fellowship Program.</t>
  </si>
  <si>
    <t>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t>
  </si>
  <si>
    <t>Pediatric Gastroenterology Fellowship Program.</t>
  </si>
  <si>
    <t>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t>
  </si>
  <si>
    <t>Pediatric Hematology-Oncology Fellowship Program.</t>
  </si>
  <si>
    <t>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t>
  </si>
  <si>
    <t>Examples: - Pediatric Hemato-Oncology Residency Program</t>
  </si>
  <si>
    <t>Pediatric Infectious Diseases Fellowship Program.</t>
  </si>
  <si>
    <t>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t>
  </si>
  <si>
    <t>Pediatric Nephrology Fellowship Program.</t>
  </si>
  <si>
    <t>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t>
  </si>
  <si>
    <t>Pediatric Pulmonology Fellowship Program.</t>
  </si>
  <si>
    <t>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t>
  </si>
  <si>
    <t>Pediatric Rheumatology Fellowship Program.</t>
  </si>
  <si>
    <t>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t>
  </si>
  <si>
    <t>Pediatric Transplant Hepatology Fellowship Program.</t>
  </si>
  <si>
    <t>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t>
  </si>
  <si>
    <t>Pediatrics Residency/Fellowship Programs, Other.</t>
  </si>
  <si>
    <t>Any residency or fellowship program in pediatrics not listed above.</t>
  </si>
  <si>
    <t>Physical Medicine and Rehabilitation Residency/Fellowship Programs.</t>
  </si>
  <si>
    <t>Instructional content for this group of programs is defined in codes 61.2001 - 61.2099.</t>
  </si>
  <si>
    <t>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This CIP code is not valid for IPEDS reporting.</t>
  </si>
  <si>
    <t>Examples: - Physical and Rehabilitation Medicine Residency Program</t>
  </si>
  <si>
    <t>Spinal Cord Injury Medicine Fellowship Program.</t>
  </si>
  <si>
    <t>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t>
  </si>
  <si>
    <t>Pediatric Rehabilitation Medicine Fellowship Program.</t>
  </si>
  <si>
    <t>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t>
  </si>
  <si>
    <t>Physical Medicine and Rehabilitation Residency/Fellowship Programs, Other.</t>
  </si>
  <si>
    <t>Any residency or fellowship program in physical medicine and rehabilitation not listed above.</t>
  </si>
  <si>
    <t>Plastic Surgery Residency/Fellowship Programs.</t>
  </si>
  <si>
    <t>Instructional content for this group of programs is defined in codes 61.2101 - 61.2199.</t>
  </si>
  <si>
    <t>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t>
  </si>
  <si>
    <t>Integrated Plastic Surgery Residency Program.</t>
  </si>
  <si>
    <t>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t>
  </si>
  <si>
    <t>Plastic Surgery Within the Head and Neck Fellowship Program.</t>
  </si>
  <si>
    <t>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t>
  </si>
  <si>
    <t>Plastic Surgery Residency/Fellowship Programs, Other.</t>
  </si>
  <si>
    <t>Any residency or fellowship program in plastic surgery not listed above.</t>
  </si>
  <si>
    <t>Podiatric Medicine Residency/Fellowship Programs.</t>
  </si>
  <si>
    <t>Instructional content for this group of programs is defined in codes 61.2201 - 61.2299.</t>
  </si>
  <si>
    <t>Podiatric Medicine and Surgery Residency Program.</t>
  </si>
  <si>
    <t>A residency training program that prepares podiatrists for primary practice in podiatric healthcare and foot surgery. This includes diagnosis and treatment of conditions affecting the human foot, ankle, and their governing and related structures, including the leg, and the local manifestations of systemic conditions, by all appropriate systems and means. This CIP code is not valid for IPEDS reporting.</t>
  </si>
  <si>
    <t>Podiatric Medicine Residency/Fellowship Programs, Other.</t>
  </si>
  <si>
    <t>Any residency or fellowship program in podiatric medicine not listed above.</t>
  </si>
  <si>
    <t>Preventive Medicine Residency/Fellowship Programs.</t>
  </si>
  <si>
    <t>Instructional content for this group of programs is defined in codes 61.2301 - 61.2399.</t>
  </si>
  <si>
    <t>A residency training program that prepares physicians to promote health, prevent disease, and manage the health of communities and defined populations; combines population-based public health skills with knowledge of primary, secondary, and tertiary prevention-oriented clinical practice in a wide variety of settings. One of three general certificates in the area of preventive medicine. Note: this medical specialty merges the previous subspecialties of preventive medicine and public health medicine. This CIP code is not valid for IPEDS reporting.</t>
  </si>
  <si>
    <t>Examples: - Public Health Medicine Residency Program, - Preventive Medicine Residency Program</t>
  </si>
  <si>
    <t>A residency training program that prepares physicians in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 This CIP code is not valid for IPEDS reporting.</t>
  </si>
  <si>
    <t>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 This CIP code is not valid for IPEDS reporting.</t>
  </si>
  <si>
    <t>Preventive Medicine Residency/Fellowship Programs, Other.</t>
  </si>
  <si>
    <t>Any residency or fellowship program in preventive medicine not listed above.</t>
  </si>
  <si>
    <t>Psychiatry Residency/Fellowship Programs.</t>
  </si>
  <si>
    <t>Instructional content for this group of programs is defined in codes 61.2401 - 61.2499.</t>
  </si>
  <si>
    <t>A residency training program that prepares physicians in the diagnosis, treatment, and prevention of mental, emotional, behavioral and neurological disorders.  Includes instruction in psychotherapy, family counseling, referral, clinical diagnosis, and practice management. This CIP code is not valid for IPEDS reporting.</t>
  </si>
  <si>
    <t>Addiction Psychiatry Fellowship Program.</t>
  </si>
  <si>
    <t>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t>
  </si>
  <si>
    <t>Child and Adolescent Psychiatry Fellowship Program.</t>
  </si>
  <si>
    <t>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t>
  </si>
  <si>
    <t>Examples: - Child Psychiatry Residency Program</t>
  </si>
  <si>
    <t>Consultation-Liaison Psychiatry Fellowship Program.</t>
  </si>
  <si>
    <t>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t>
  </si>
  <si>
    <t>Examples: - Psychosomatic Medicine</t>
  </si>
  <si>
    <t>Forensic Psychiatry Fellowship Program.</t>
  </si>
  <si>
    <t>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t>
  </si>
  <si>
    <t>Geriatric Psychiatry Fellowship Program.</t>
  </si>
  <si>
    <t>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t>
  </si>
  <si>
    <t>Psychiatry Residency/Fellowship Programs, Other.</t>
  </si>
  <si>
    <t>Any residency or fellowship program in psychiatry not listed above.</t>
  </si>
  <si>
    <t>Radiation Oncology Residency/Fellowship Programs.</t>
  </si>
  <si>
    <t>Instructional content for this group of programs is defined in codes 61.2501 - 61.2599.</t>
  </si>
  <si>
    <t>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t>
  </si>
  <si>
    <t>Radiation Oncology Residency/Fellowship Programs, Other.</t>
  </si>
  <si>
    <t>Any residency or fellowship program in radiation oncology not listed above.</t>
  </si>
  <si>
    <t>Radiology Residency/Fellowship Programs.</t>
  </si>
  <si>
    <t>Instructional content for this group of programs is defined in codes 61.2601 - 61.2699.</t>
  </si>
  <si>
    <t>A residency training program that prepares physicians to utilize x-ray, ionizing radiation, radionuclides, ultrasound, electromagnetic radiation, and image-guided intervention to diagnose and treat disease. One of two general certificates in the area of radiology. This CIP code is not valid for IPEDS reporting.</t>
  </si>
  <si>
    <t>Integrated Interventional Radiology Residency Program.</t>
  </si>
  <si>
    <t>A fellowship training program that prepares physicians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 This CIP code is not valid for IPEDS reporting.</t>
  </si>
  <si>
    <t>Abdominal Radiology Fellowship Program.</t>
  </si>
  <si>
    <t>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t>
  </si>
  <si>
    <t>A residency training program that prepares physicians in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 This CIP code is not valid for IPEDS reporting.</t>
  </si>
  <si>
    <t>A residency training program that prepares physicians in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 This CIP code is not valid for IPEDS reporting.</t>
  </si>
  <si>
    <t>Musculoskeletal Radiology Fellowship Program.</t>
  </si>
  <si>
    <t>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t>
  </si>
  <si>
    <t>Neuroradiology Fellowship Program.</t>
  </si>
  <si>
    <t>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t>
  </si>
  <si>
    <t>Nuclear Radiology Fellowship Program.</t>
  </si>
  <si>
    <t>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t>
  </si>
  <si>
    <t>Pediatric Radiology Fellowship Program.</t>
  </si>
  <si>
    <t>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t>
  </si>
  <si>
    <t>A residency training program that prepares physicians in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 This CIP code is not valid for IPEDS reporting.</t>
  </si>
  <si>
    <t>A residency training program that prepares physicians to deal with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 This CIP code is not valid for IPEDS reporting.</t>
  </si>
  <si>
    <t>Vascular and Interventional Radiology Fellowship Program.</t>
  </si>
  <si>
    <t>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t>
  </si>
  <si>
    <t>Radiology Residency/Fellowship Programs, Other.</t>
  </si>
  <si>
    <t>Any medical residency or fellowship in radiology not listed above.</t>
  </si>
  <si>
    <t>Surgery Residency/Fellowship Programs.</t>
  </si>
  <si>
    <t>Instructional content for this group of programs is defined in codes 61.2701 - 61.2799.</t>
  </si>
  <si>
    <t>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This CIP code is not valid for IPEDS reporting.</t>
  </si>
  <si>
    <t>Examples: - Surgery Residency Program</t>
  </si>
  <si>
    <t>A residency training program that prepares physicians in the surgical care of patients with anorectal and colonic diseases.  Also includes instruction in diagnostic and therapeutic colonoscopy.  Requires prior or concurrent completion of a residency program in general surgery. This CIP code is not valid for IPEDS reporting.</t>
  </si>
  <si>
    <t>Complex General Surgical Oncology Fellowship Program.</t>
  </si>
  <si>
    <t>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t>
  </si>
  <si>
    <t>Congenital Cardiac Surgery Fellowship Program.</t>
  </si>
  <si>
    <t>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t>
  </si>
  <si>
    <t>Pediatric Surgery Fellowship Program.</t>
  </si>
  <si>
    <t>A fellowship training program that prepares physicians in the diagnosis, evaluation and surgical treatment of diseases, disorders, and trauma in infants and children.  Requires prior completion of a residency program in general surgery. This CIP code is not valid for IPEDS reporting.</t>
  </si>
  <si>
    <t>Surgical Critical Care Fellowship Program.</t>
  </si>
  <si>
    <t>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t>
  </si>
  <si>
    <t>Examples: - Critical Care Surgery Residency Program</t>
  </si>
  <si>
    <t>Thoracic Surgery Fellowship Program.</t>
  </si>
  <si>
    <t>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t>
  </si>
  <si>
    <t>Examples: - Integrated Thoracic Surgery Fellowship Program</t>
  </si>
  <si>
    <t>Vascular Surgery Fellowship Program.</t>
  </si>
  <si>
    <t>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t>
  </si>
  <si>
    <t>Surgery Residency/Fellowship Programs, Other.</t>
  </si>
  <si>
    <t>Any residency or fellowship program in surgery not listed above.</t>
  </si>
  <si>
    <t>Urology Residency/Fellowship Programs.</t>
  </si>
  <si>
    <t>Instructional content for this group of programs is defined in codes 61.2801 - 61.2899. These CIP codes are not valid for IPEDS reporting.</t>
  </si>
  <si>
    <t>A residency training program that prepares physicians to manage congenital and acquired conditions of the genitourinary system, the adrenal gland, and other contiguous structures throughout the lifespan and which may be benign or malignant. This specialist is skilled in medical and open surgical therapy of these conditions, as well as endoscopic, percutaneous, and other minimally invasive methods. This CIP code is not valid for IPEDS reporting.</t>
  </si>
  <si>
    <t>Pediatric Urology Fellowship Program.</t>
  </si>
  <si>
    <t>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t>
  </si>
  <si>
    <t>Urology Residency/Fellowship Programs, Other.</t>
  </si>
  <si>
    <t>Any residency or fellowship program in urology not listed above.</t>
  </si>
  <si>
    <t>Medical Residency/Fellowship Programs, Other.</t>
  </si>
  <si>
    <t>Instructional content is defined in code 61.9999.</t>
  </si>
  <si>
    <t>Any medical residency or fellowship program not listed above. This CIP code is not valid for IPEDS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</si>
</sst>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49"/>
  <sheetViews>
    <sheetView tabSelected="1" workbookViewId="0"/>
  </sheetViews>
  <sheetFormatPr defaultRowHeight="14.4" x14ac:dyDescent="0.55000000000000004"/>
  <sheetData>
    <row r="1" spans="1:8" x14ac:dyDescent="0.55000000000000004">
      <c r="A1" t="s">
        <v>0</v>
      </c>
      <c r="B1" t="s">
        <v>1</v>
      </c>
      <c r="C1" t="s">
        <v>2</v>
      </c>
      <c r="D1" t="s">
        <v>3</v>
      </c>
      <c r="E1" t="s">
        <v>4</v>
      </c>
      <c r="F1" t="s">
        <v>5</v>
      </c>
      <c r="G1" t="s">
        <v>6</v>
      </c>
      <c r="H1" t="s">
        <v>7</v>
      </c>
    </row>
    <row r="2" spans="1:8" x14ac:dyDescent="0.55000000000000004">
      <c r="A2" t="str">
        <f>"01"</f>
        <v>01</v>
      </c>
      <c r="B2" t="str">
        <f>"01"</f>
        <v>01</v>
      </c>
      <c r="C2" t="s">
        <v>8</v>
      </c>
      <c r="D2" t="s">
        <v>9</v>
      </c>
      <c r="E2" t="s">
        <v>10</v>
      </c>
      <c r="F2" t="s">
        <v>11</v>
      </c>
    </row>
    <row r="3" spans="1:8" x14ac:dyDescent="0.55000000000000004">
      <c r="A3" t="str">
        <f t="shared" ref="A3:A34" si="0">"01"</f>
        <v>01</v>
      </c>
      <c r="B3" t="str">
        <f>"01.00"</f>
        <v>01.00</v>
      </c>
      <c r="C3" t="s">
        <v>8</v>
      </c>
      <c r="D3" t="s">
        <v>12</v>
      </c>
      <c r="E3" t="s">
        <v>13</v>
      </c>
      <c r="F3" t="s">
        <v>14</v>
      </c>
    </row>
    <row r="4" spans="1:8" x14ac:dyDescent="0.55000000000000004">
      <c r="A4" t="str">
        <f t="shared" si="0"/>
        <v>01</v>
      </c>
      <c r="B4" t="str">
        <f>"01.0000"</f>
        <v>01.0000</v>
      </c>
      <c r="C4" t="s">
        <v>8</v>
      </c>
      <c r="D4" t="s">
        <v>12</v>
      </c>
      <c r="E4" t="s">
        <v>13</v>
      </c>
      <c r="F4" t="s">
        <v>15</v>
      </c>
      <c r="G4" t="s">
        <v>16</v>
      </c>
    </row>
    <row r="5" spans="1:8" x14ac:dyDescent="0.55000000000000004">
      <c r="A5" t="str">
        <f t="shared" si="0"/>
        <v>01</v>
      </c>
      <c r="B5" t="str">
        <f>"01.01"</f>
        <v>01.01</v>
      </c>
      <c r="C5" t="s">
        <v>8</v>
      </c>
      <c r="D5" t="s">
        <v>12</v>
      </c>
      <c r="E5" t="s">
        <v>17</v>
      </c>
      <c r="F5" t="s">
        <v>18</v>
      </c>
    </row>
    <row r="6" spans="1:8" x14ac:dyDescent="0.55000000000000004">
      <c r="A6" t="str">
        <f t="shared" si="0"/>
        <v>01</v>
      </c>
      <c r="B6" t="str">
        <f>"01.0101"</f>
        <v>01.0101</v>
      </c>
      <c r="C6" t="s">
        <v>8</v>
      </c>
      <c r="D6" t="s">
        <v>12</v>
      </c>
      <c r="E6" t="s">
        <v>19</v>
      </c>
      <c r="F6" t="s">
        <v>20</v>
      </c>
    </row>
    <row r="7" spans="1:8" x14ac:dyDescent="0.55000000000000004">
      <c r="A7" t="str">
        <f t="shared" si="0"/>
        <v>01</v>
      </c>
      <c r="B7" t="str">
        <f>"01.0102"</f>
        <v>01.0102</v>
      </c>
      <c r="C7" t="s">
        <v>8</v>
      </c>
      <c r="D7" t="s">
        <v>12</v>
      </c>
      <c r="E7" t="s">
        <v>21</v>
      </c>
      <c r="F7" t="s">
        <v>22</v>
      </c>
    </row>
    <row r="8" spans="1:8" x14ac:dyDescent="0.55000000000000004">
      <c r="A8" t="str">
        <f t="shared" si="0"/>
        <v>01</v>
      </c>
      <c r="B8" t="str">
        <f>"01.0103"</f>
        <v>01.0103</v>
      </c>
      <c r="C8" t="s">
        <v>8</v>
      </c>
      <c r="D8" t="s">
        <v>12</v>
      </c>
      <c r="E8" t="s">
        <v>23</v>
      </c>
      <c r="F8" t="s">
        <v>24</v>
      </c>
      <c r="G8" t="s">
        <v>25</v>
      </c>
      <c r="H8" t="s">
        <v>26</v>
      </c>
    </row>
    <row r="9" spans="1:8" x14ac:dyDescent="0.55000000000000004">
      <c r="A9" t="str">
        <f t="shared" si="0"/>
        <v>01</v>
      </c>
      <c r="B9" t="str">
        <f>"01.0104"</f>
        <v>01.0104</v>
      </c>
      <c r="C9" t="s">
        <v>8</v>
      </c>
      <c r="D9" t="s">
        <v>12</v>
      </c>
      <c r="E9" t="s">
        <v>27</v>
      </c>
      <c r="F9" t="s">
        <v>28</v>
      </c>
    </row>
    <row r="10" spans="1:8" x14ac:dyDescent="0.55000000000000004">
      <c r="A10" t="str">
        <f t="shared" si="0"/>
        <v>01</v>
      </c>
      <c r="B10" t="str">
        <f>"01.0105"</f>
        <v>01.0105</v>
      </c>
      <c r="C10" t="s">
        <v>8</v>
      </c>
      <c r="D10" t="s">
        <v>12</v>
      </c>
      <c r="E10" t="s">
        <v>29</v>
      </c>
      <c r="F10" t="s">
        <v>30</v>
      </c>
      <c r="G10" t="s">
        <v>31</v>
      </c>
    </row>
    <row r="11" spans="1:8" x14ac:dyDescent="0.55000000000000004">
      <c r="A11" t="str">
        <f t="shared" si="0"/>
        <v>01</v>
      </c>
      <c r="B11" t="str">
        <f>"01.0106"</f>
        <v>01.0106</v>
      </c>
      <c r="C11" t="s">
        <v>8</v>
      </c>
      <c r="D11" t="s">
        <v>9</v>
      </c>
      <c r="E11" t="s">
        <v>32</v>
      </c>
      <c r="F11" t="s">
        <v>33</v>
      </c>
    </row>
    <row r="12" spans="1:8" x14ac:dyDescent="0.55000000000000004">
      <c r="A12" t="str">
        <f t="shared" si="0"/>
        <v>01</v>
      </c>
      <c r="B12" t="str">
        <f>"01.0199"</f>
        <v>01.0199</v>
      </c>
      <c r="C12" t="s">
        <v>8</v>
      </c>
      <c r="D12" t="s">
        <v>12</v>
      </c>
      <c r="E12" t="s">
        <v>34</v>
      </c>
      <c r="F12" t="s">
        <v>35</v>
      </c>
    </row>
    <row r="13" spans="1:8" x14ac:dyDescent="0.55000000000000004">
      <c r="A13" t="str">
        <f t="shared" si="0"/>
        <v>01</v>
      </c>
      <c r="B13" t="str">
        <f>"01.02"</f>
        <v>01.02</v>
      </c>
      <c r="C13" t="s">
        <v>8</v>
      </c>
      <c r="D13" t="s">
        <v>12</v>
      </c>
      <c r="E13" t="s">
        <v>36</v>
      </c>
      <c r="F13" t="s">
        <v>37</v>
      </c>
    </row>
    <row r="14" spans="1:8" x14ac:dyDescent="0.55000000000000004">
      <c r="A14" t="str">
        <f t="shared" si="0"/>
        <v>01</v>
      </c>
      <c r="B14" t="str">
        <f>"01.0201"</f>
        <v>01.0201</v>
      </c>
      <c r="C14" t="s">
        <v>8</v>
      </c>
      <c r="D14" t="s">
        <v>12</v>
      </c>
      <c r="E14" t="s">
        <v>38</v>
      </c>
      <c r="F14" t="s">
        <v>39</v>
      </c>
    </row>
    <row r="15" spans="1:8" x14ac:dyDescent="0.55000000000000004">
      <c r="A15" t="str">
        <f t="shared" si="0"/>
        <v>01</v>
      </c>
      <c r="B15" t="str">
        <f>"01.0204"</f>
        <v>01.0204</v>
      </c>
      <c r="C15" t="s">
        <v>8</v>
      </c>
      <c r="D15" t="s">
        <v>12</v>
      </c>
      <c r="E15" t="s">
        <v>40</v>
      </c>
      <c r="F15" t="s">
        <v>41</v>
      </c>
      <c r="G15" t="s">
        <v>42</v>
      </c>
      <c r="H15" t="s">
        <v>43</v>
      </c>
    </row>
    <row r="16" spans="1:8" x14ac:dyDescent="0.55000000000000004">
      <c r="A16" t="str">
        <f t="shared" si="0"/>
        <v>01</v>
      </c>
      <c r="B16" t="str">
        <f>"01.0205"</f>
        <v>01.0205</v>
      </c>
      <c r="C16" t="s">
        <v>8</v>
      </c>
      <c r="D16" t="s">
        <v>9</v>
      </c>
      <c r="E16" t="s">
        <v>44</v>
      </c>
      <c r="F16" t="s">
        <v>45</v>
      </c>
      <c r="H16" t="s">
        <v>46</v>
      </c>
    </row>
    <row r="17" spans="1:8" x14ac:dyDescent="0.55000000000000004">
      <c r="A17" t="str">
        <f t="shared" si="0"/>
        <v>01</v>
      </c>
      <c r="B17" t="str">
        <f>"01.0207"</f>
        <v>01.0207</v>
      </c>
      <c r="C17" t="s">
        <v>47</v>
      </c>
      <c r="D17" t="s">
        <v>12</v>
      </c>
      <c r="E17" t="s">
        <v>48</v>
      </c>
      <c r="F17" t="s">
        <v>49</v>
      </c>
    </row>
    <row r="18" spans="1:8" x14ac:dyDescent="0.55000000000000004">
      <c r="A18" t="str">
        <f t="shared" si="0"/>
        <v>01</v>
      </c>
      <c r="B18" t="str">
        <f>"01.0299"</f>
        <v>01.0299</v>
      </c>
      <c r="C18" t="s">
        <v>8</v>
      </c>
      <c r="D18" t="s">
        <v>12</v>
      </c>
      <c r="E18" t="s">
        <v>50</v>
      </c>
      <c r="F18" t="s">
        <v>51</v>
      </c>
    </row>
    <row r="19" spans="1:8" x14ac:dyDescent="0.55000000000000004">
      <c r="A19" t="str">
        <f t="shared" si="0"/>
        <v>01</v>
      </c>
      <c r="B19" t="str">
        <f>"01.03"</f>
        <v>01.03</v>
      </c>
      <c r="C19" t="s">
        <v>8</v>
      </c>
      <c r="D19" t="s">
        <v>12</v>
      </c>
      <c r="E19" t="s">
        <v>52</v>
      </c>
      <c r="F19" t="s">
        <v>53</v>
      </c>
    </row>
    <row r="20" spans="1:8" x14ac:dyDescent="0.55000000000000004">
      <c r="A20" t="str">
        <f t="shared" si="0"/>
        <v>01</v>
      </c>
      <c r="B20" t="str">
        <f>"01.0301"</f>
        <v>01.0301</v>
      </c>
      <c r="C20" t="s">
        <v>8</v>
      </c>
      <c r="D20" t="s">
        <v>12</v>
      </c>
      <c r="E20" t="s">
        <v>54</v>
      </c>
      <c r="F20" t="s">
        <v>55</v>
      </c>
    </row>
    <row r="21" spans="1:8" x14ac:dyDescent="0.55000000000000004">
      <c r="A21" t="str">
        <f t="shared" si="0"/>
        <v>01</v>
      </c>
      <c r="B21" t="str">
        <f>"01.0302"</f>
        <v>01.0302</v>
      </c>
      <c r="C21" t="s">
        <v>8</v>
      </c>
      <c r="D21" t="s">
        <v>12</v>
      </c>
      <c r="E21" t="s">
        <v>56</v>
      </c>
      <c r="F21" t="s">
        <v>57</v>
      </c>
    </row>
    <row r="22" spans="1:8" x14ac:dyDescent="0.55000000000000004">
      <c r="A22" t="str">
        <f t="shared" si="0"/>
        <v>01</v>
      </c>
      <c r="B22" t="str">
        <f>"01.0303"</f>
        <v>01.0303</v>
      </c>
      <c r="C22" t="s">
        <v>8</v>
      </c>
      <c r="D22" t="s">
        <v>12</v>
      </c>
      <c r="E22" t="s">
        <v>58</v>
      </c>
      <c r="F22" t="s">
        <v>59</v>
      </c>
    </row>
    <row r="23" spans="1:8" x14ac:dyDescent="0.55000000000000004">
      <c r="A23" t="str">
        <f t="shared" si="0"/>
        <v>01</v>
      </c>
      <c r="B23" t="str">
        <f>"01.0304"</f>
        <v>01.0304</v>
      </c>
      <c r="C23" t="s">
        <v>8</v>
      </c>
      <c r="D23" t="s">
        <v>12</v>
      </c>
      <c r="E23" t="s">
        <v>60</v>
      </c>
      <c r="F23" t="s">
        <v>61</v>
      </c>
    </row>
    <row r="24" spans="1:8" x14ac:dyDescent="0.55000000000000004">
      <c r="A24" t="str">
        <f t="shared" si="0"/>
        <v>01</v>
      </c>
      <c r="B24" t="str">
        <f>"01.0306"</f>
        <v>01.0306</v>
      </c>
      <c r="C24" t="s">
        <v>8</v>
      </c>
      <c r="D24" t="s">
        <v>12</v>
      </c>
      <c r="E24" t="s">
        <v>62</v>
      </c>
      <c r="F24" t="s">
        <v>63</v>
      </c>
    </row>
    <row r="25" spans="1:8" x14ac:dyDescent="0.55000000000000004">
      <c r="A25" t="str">
        <f t="shared" si="0"/>
        <v>01</v>
      </c>
      <c r="B25" t="str">
        <f>"01.0307"</f>
        <v>01.0307</v>
      </c>
      <c r="C25" t="s">
        <v>8</v>
      </c>
      <c r="D25" t="s">
        <v>12</v>
      </c>
      <c r="E25" t="s">
        <v>64</v>
      </c>
      <c r="F25" t="s">
        <v>65</v>
      </c>
    </row>
    <row r="26" spans="1:8" x14ac:dyDescent="0.55000000000000004">
      <c r="A26" t="str">
        <f t="shared" si="0"/>
        <v>01</v>
      </c>
      <c r="B26" t="str">
        <f>"01.0308"</f>
        <v>01.0308</v>
      </c>
      <c r="C26" t="s">
        <v>8</v>
      </c>
      <c r="D26" t="s">
        <v>12</v>
      </c>
      <c r="E26" t="s">
        <v>66</v>
      </c>
      <c r="F26" t="s">
        <v>67</v>
      </c>
      <c r="G26" t="s">
        <v>68</v>
      </c>
      <c r="H26" t="s">
        <v>69</v>
      </c>
    </row>
    <row r="27" spans="1:8" x14ac:dyDescent="0.55000000000000004">
      <c r="A27" t="str">
        <f t="shared" si="0"/>
        <v>01</v>
      </c>
      <c r="B27" t="str">
        <f>"01.0309"</f>
        <v>01.0309</v>
      </c>
      <c r="C27" t="s">
        <v>70</v>
      </c>
      <c r="D27" t="s">
        <v>12</v>
      </c>
      <c r="E27" t="s">
        <v>71</v>
      </c>
      <c r="F27" t="s">
        <v>72</v>
      </c>
    </row>
    <row r="28" spans="1:8" x14ac:dyDescent="0.55000000000000004">
      <c r="A28" t="str">
        <f t="shared" si="0"/>
        <v>01</v>
      </c>
      <c r="B28" t="str">
        <f>"01.0310"</f>
        <v>01.0310</v>
      </c>
      <c r="C28" t="s">
        <v>47</v>
      </c>
      <c r="D28" t="s">
        <v>12</v>
      </c>
      <c r="E28" t="s">
        <v>73</v>
      </c>
      <c r="F28" t="s">
        <v>74</v>
      </c>
      <c r="G28" t="s">
        <v>75</v>
      </c>
      <c r="H28" t="s">
        <v>76</v>
      </c>
    </row>
    <row r="29" spans="1:8" x14ac:dyDescent="0.55000000000000004">
      <c r="A29" t="str">
        <f t="shared" si="0"/>
        <v>01</v>
      </c>
      <c r="B29" t="str">
        <f>"01.0399"</f>
        <v>01.0399</v>
      </c>
      <c r="C29" t="s">
        <v>8</v>
      </c>
      <c r="D29" t="s">
        <v>12</v>
      </c>
      <c r="E29" t="s">
        <v>77</v>
      </c>
      <c r="F29" t="s">
        <v>78</v>
      </c>
    </row>
    <row r="30" spans="1:8" x14ac:dyDescent="0.55000000000000004">
      <c r="A30" t="str">
        <f t="shared" si="0"/>
        <v>01</v>
      </c>
      <c r="B30" t="str">
        <f>"01.04"</f>
        <v>01.04</v>
      </c>
      <c r="C30" t="s">
        <v>8</v>
      </c>
      <c r="D30" t="s">
        <v>12</v>
      </c>
      <c r="E30" t="s">
        <v>79</v>
      </c>
      <c r="F30" t="s">
        <v>80</v>
      </c>
    </row>
    <row r="31" spans="1:8" x14ac:dyDescent="0.55000000000000004">
      <c r="A31" t="str">
        <f t="shared" si="0"/>
        <v>01</v>
      </c>
      <c r="B31" t="str">
        <f>"01.0401"</f>
        <v>01.0401</v>
      </c>
      <c r="C31" t="s">
        <v>8</v>
      </c>
      <c r="D31" t="s">
        <v>12</v>
      </c>
      <c r="E31" t="s">
        <v>79</v>
      </c>
      <c r="F31" t="s">
        <v>81</v>
      </c>
    </row>
    <row r="32" spans="1:8" x14ac:dyDescent="0.55000000000000004">
      <c r="A32" t="str">
        <f t="shared" si="0"/>
        <v>01</v>
      </c>
      <c r="B32" t="str">
        <f>"01.0480"</f>
        <v>01.0480</v>
      </c>
      <c r="C32" t="s">
        <v>47</v>
      </c>
      <c r="D32" t="s">
        <v>12</v>
      </c>
      <c r="E32" t="s">
        <v>82</v>
      </c>
      <c r="F32" t="s">
        <v>83</v>
      </c>
    </row>
    <row r="33" spans="1:8" x14ac:dyDescent="0.55000000000000004">
      <c r="A33" t="str">
        <f t="shared" si="0"/>
        <v>01</v>
      </c>
      <c r="B33" t="str">
        <f>"01.05"</f>
        <v>01.05</v>
      </c>
      <c r="C33" t="s">
        <v>8</v>
      </c>
      <c r="D33" t="s">
        <v>12</v>
      </c>
      <c r="E33" t="s">
        <v>84</v>
      </c>
      <c r="F33" t="s">
        <v>85</v>
      </c>
    </row>
    <row r="34" spans="1:8" x14ac:dyDescent="0.55000000000000004">
      <c r="A34" t="str">
        <f t="shared" si="0"/>
        <v>01</v>
      </c>
      <c r="B34" t="str">
        <f>"01.0504"</f>
        <v>01.0504</v>
      </c>
      <c r="C34" t="s">
        <v>8</v>
      </c>
      <c r="D34" t="s">
        <v>12</v>
      </c>
      <c r="E34" t="s">
        <v>86</v>
      </c>
      <c r="F34" t="s">
        <v>87</v>
      </c>
    </row>
    <row r="35" spans="1:8" x14ac:dyDescent="0.55000000000000004">
      <c r="A35" t="str">
        <f t="shared" ref="A35:A66" si="1">"01"</f>
        <v>01</v>
      </c>
      <c r="B35" t="str">
        <f>"01.0505"</f>
        <v>01.0505</v>
      </c>
      <c r="C35" t="s">
        <v>8</v>
      </c>
      <c r="D35" t="s">
        <v>12</v>
      </c>
      <c r="E35" t="s">
        <v>88</v>
      </c>
      <c r="F35" t="s">
        <v>89</v>
      </c>
    </row>
    <row r="36" spans="1:8" x14ac:dyDescent="0.55000000000000004">
      <c r="A36" t="str">
        <f t="shared" si="1"/>
        <v>01</v>
      </c>
      <c r="B36" t="str">
        <f>"01.0507"</f>
        <v>01.0507</v>
      </c>
      <c r="C36" t="s">
        <v>8</v>
      </c>
      <c r="D36" t="s">
        <v>12</v>
      </c>
      <c r="E36" t="s">
        <v>90</v>
      </c>
      <c r="F36" t="s">
        <v>91</v>
      </c>
    </row>
    <row r="37" spans="1:8" x14ac:dyDescent="0.55000000000000004">
      <c r="A37" t="str">
        <f t="shared" si="1"/>
        <v>01</v>
      </c>
      <c r="B37" t="str">
        <f>"01.0508"</f>
        <v>01.0508</v>
      </c>
      <c r="C37" t="s">
        <v>8</v>
      </c>
      <c r="D37" t="s">
        <v>12</v>
      </c>
      <c r="E37" t="s">
        <v>92</v>
      </c>
      <c r="F37" t="s">
        <v>93</v>
      </c>
    </row>
    <row r="38" spans="1:8" x14ac:dyDescent="0.55000000000000004">
      <c r="A38" t="str">
        <f t="shared" si="1"/>
        <v>01</v>
      </c>
      <c r="B38" t="str">
        <f>"01.0509"</f>
        <v>01.0509</v>
      </c>
      <c r="C38" t="s">
        <v>47</v>
      </c>
      <c r="D38" t="s">
        <v>12</v>
      </c>
      <c r="E38" t="s">
        <v>94</v>
      </c>
      <c r="F38" t="s">
        <v>95</v>
      </c>
    </row>
    <row r="39" spans="1:8" x14ac:dyDescent="0.55000000000000004">
      <c r="A39" t="str">
        <f t="shared" si="1"/>
        <v>01</v>
      </c>
      <c r="B39" t="str">
        <f>"01.0599"</f>
        <v>01.0599</v>
      </c>
      <c r="C39" t="s">
        <v>8</v>
      </c>
      <c r="D39" t="s">
        <v>12</v>
      </c>
      <c r="E39" t="s">
        <v>96</v>
      </c>
      <c r="F39" t="s">
        <v>97</v>
      </c>
    </row>
    <row r="40" spans="1:8" x14ac:dyDescent="0.55000000000000004">
      <c r="A40" t="str">
        <f t="shared" si="1"/>
        <v>01</v>
      </c>
      <c r="B40" t="str">
        <f>"01.06"</f>
        <v>01.06</v>
      </c>
      <c r="C40" t="s">
        <v>8</v>
      </c>
      <c r="D40" t="s">
        <v>12</v>
      </c>
      <c r="E40" t="s">
        <v>98</v>
      </c>
      <c r="F40" t="s">
        <v>99</v>
      </c>
    </row>
    <row r="41" spans="1:8" x14ac:dyDescent="0.55000000000000004">
      <c r="A41" t="str">
        <f t="shared" si="1"/>
        <v>01</v>
      </c>
      <c r="B41" t="str">
        <f>"01.0601"</f>
        <v>01.0601</v>
      </c>
      <c r="C41" t="s">
        <v>8</v>
      </c>
      <c r="D41" t="s">
        <v>12</v>
      </c>
      <c r="E41" t="s">
        <v>100</v>
      </c>
      <c r="F41" t="s">
        <v>101</v>
      </c>
    </row>
    <row r="42" spans="1:8" x14ac:dyDescent="0.55000000000000004">
      <c r="A42" t="str">
        <f t="shared" si="1"/>
        <v>01</v>
      </c>
      <c r="B42" t="str">
        <f>"01.0603"</f>
        <v>01.0603</v>
      </c>
      <c r="C42" t="s">
        <v>8</v>
      </c>
      <c r="D42" t="s">
        <v>12</v>
      </c>
      <c r="E42" t="s">
        <v>102</v>
      </c>
      <c r="F42" t="s">
        <v>103</v>
      </c>
    </row>
    <row r="43" spans="1:8" x14ac:dyDescent="0.55000000000000004">
      <c r="A43" t="str">
        <f t="shared" si="1"/>
        <v>01</v>
      </c>
      <c r="B43" t="str">
        <f>"01.0604"</f>
        <v>01.0604</v>
      </c>
      <c r="C43" t="s">
        <v>8</v>
      </c>
      <c r="D43" t="s">
        <v>12</v>
      </c>
      <c r="E43" t="s">
        <v>104</v>
      </c>
      <c r="F43" t="s">
        <v>105</v>
      </c>
    </row>
    <row r="44" spans="1:8" x14ac:dyDescent="0.55000000000000004">
      <c r="A44" t="str">
        <f t="shared" si="1"/>
        <v>01</v>
      </c>
      <c r="B44" t="str">
        <f>"01.0605"</f>
        <v>01.0605</v>
      </c>
      <c r="C44" t="s">
        <v>8</v>
      </c>
      <c r="D44" t="s">
        <v>12</v>
      </c>
      <c r="E44" t="s">
        <v>106</v>
      </c>
      <c r="F44" t="s">
        <v>107</v>
      </c>
      <c r="G44" t="s">
        <v>108</v>
      </c>
      <c r="H44" t="s">
        <v>109</v>
      </c>
    </row>
    <row r="45" spans="1:8" x14ac:dyDescent="0.55000000000000004">
      <c r="A45" t="str">
        <f t="shared" si="1"/>
        <v>01</v>
      </c>
      <c r="B45" t="str">
        <f>"01.0606"</f>
        <v>01.0606</v>
      </c>
      <c r="C45" t="s">
        <v>8</v>
      </c>
      <c r="D45" t="s">
        <v>12</v>
      </c>
      <c r="E45" t="s">
        <v>110</v>
      </c>
      <c r="F45" t="s">
        <v>111</v>
      </c>
    </row>
    <row r="46" spans="1:8" x14ac:dyDescent="0.55000000000000004">
      <c r="A46" t="str">
        <f t="shared" si="1"/>
        <v>01</v>
      </c>
      <c r="B46" t="str">
        <f>"01.0607"</f>
        <v>01.0607</v>
      </c>
      <c r="C46" t="s">
        <v>8</v>
      </c>
      <c r="D46" t="s">
        <v>12</v>
      </c>
      <c r="E46" t="s">
        <v>112</v>
      </c>
      <c r="F46" t="s">
        <v>113</v>
      </c>
      <c r="H46" t="s">
        <v>114</v>
      </c>
    </row>
    <row r="47" spans="1:8" x14ac:dyDescent="0.55000000000000004">
      <c r="A47" t="str">
        <f t="shared" si="1"/>
        <v>01</v>
      </c>
      <c r="B47" t="str">
        <f>"01.0608"</f>
        <v>01.0608</v>
      </c>
      <c r="C47" t="s">
        <v>8</v>
      </c>
      <c r="D47" t="s">
        <v>12</v>
      </c>
      <c r="E47" t="s">
        <v>115</v>
      </c>
      <c r="F47" t="s">
        <v>116</v>
      </c>
      <c r="H47" t="s">
        <v>117</v>
      </c>
    </row>
    <row r="48" spans="1:8" x14ac:dyDescent="0.55000000000000004">
      <c r="A48" t="str">
        <f t="shared" si="1"/>
        <v>01</v>
      </c>
      <c r="B48" t="str">
        <f>"01.0609"</f>
        <v>01.0609</v>
      </c>
      <c r="C48" t="s">
        <v>47</v>
      </c>
      <c r="D48" t="s">
        <v>12</v>
      </c>
      <c r="E48" t="s">
        <v>118</v>
      </c>
      <c r="F48" t="s">
        <v>119</v>
      </c>
      <c r="G48" t="s">
        <v>120</v>
      </c>
    </row>
    <row r="49" spans="1:8" x14ac:dyDescent="0.55000000000000004">
      <c r="A49" t="str">
        <f t="shared" si="1"/>
        <v>01</v>
      </c>
      <c r="B49" t="str">
        <f>"01.0610"</f>
        <v>01.0610</v>
      </c>
      <c r="C49" t="s">
        <v>47</v>
      </c>
      <c r="D49" t="s">
        <v>12</v>
      </c>
      <c r="E49" t="s">
        <v>121</v>
      </c>
      <c r="F49" t="s">
        <v>122</v>
      </c>
    </row>
    <row r="50" spans="1:8" x14ac:dyDescent="0.55000000000000004">
      <c r="A50" t="str">
        <f t="shared" si="1"/>
        <v>01</v>
      </c>
      <c r="B50" t="str">
        <f>"01.0680"</f>
        <v>01.0680</v>
      </c>
      <c r="C50" t="s">
        <v>47</v>
      </c>
      <c r="D50" t="s">
        <v>12</v>
      </c>
      <c r="E50" t="s">
        <v>82</v>
      </c>
      <c r="F50" t="s">
        <v>83</v>
      </c>
    </row>
    <row r="51" spans="1:8" x14ac:dyDescent="0.55000000000000004">
      <c r="A51" t="str">
        <f t="shared" si="1"/>
        <v>01</v>
      </c>
      <c r="B51" t="str">
        <f>"01.0699"</f>
        <v>01.0699</v>
      </c>
      <c r="C51" t="s">
        <v>8</v>
      </c>
      <c r="D51" t="s">
        <v>12</v>
      </c>
      <c r="E51" t="s">
        <v>123</v>
      </c>
      <c r="F51" t="s">
        <v>124</v>
      </c>
      <c r="G51" t="s">
        <v>125</v>
      </c>
    </row>
    <row r="52" spans="1:8" x14ac:dyDescent="0.55000000000000004">
      <c r="A52" t="str">
        <f t="shared" si="1"/>
        <v>01</v>
      </c>
      <c r="B52" t="str">
        <f>"01.07"</f>
        <v>01.07</v>
      </c>
      <c r="C52" t="s">
        <v>8</v>
      </c>
      <c r="D52" t="s">
        <v>12</v>
      </c>
      <c r="E52" t="s">
        <v>126</v>
      </c>
      <c r="F52" t="s">
        <v>127</v>
      </c>
    </row>
    <row r="53" spans="1:8" x14ac:dyDescent="0.55000000000000004">
      <c r="A53" t="str">
        <f t="shared" si="1"/>
        <v>01</v>
      </c>
      <c r="B53" t="str">
        <f>"01.0701"</f>
        <v>01.0701</v>
      </c>
      <c r="C53" t="s">
        <v>8</v>
      </c>
      <c r="D53" t="s">
        <v>12</v>
      </c>
      <c r="E53" t="s">
        <v>126</v>
      </c>
      <c r="F53" t="s">
        <v>128</v>
      </c>
      <c r="G53" t="s">
        <v>129</v>
      </c>
    </row>
    <row r="54" spans="1:8" x14ac:dyDescent="0.55000000000000004">
      <c r="A54" t="str">
        <f t="shared" si="1"/>
        <v>01</v>
      </c>
      <c r="B54" t="str">
        <f>"01.08"</f>
        <v>01.08</v>
      </c>
      <c r="C54" t="s">
        <v>8</v>
      </c>
      <c r="D54" t="s">
        <v>12</v>
      </c>
      <c r="E54" t="s">
        <v>130</v>
      </c>
      <c r="F54" t="s">
        <v>131</v>
      </c>
    </row>
    <row r="55" spans="1:8" x14ac:dyDescent="0.55000000000000004">
      <c r="A55" t="str">
        <f t="shared" si="1"/>
        <v>01</v>
      </c>
      <c r="B55" t="str">
        <f>"01.0801"</f>
        <v>01.0801</v>
      </c>
      <c r="C55" t="s">
        <v>8</v>
      </c>
      <c r="D55" t="s">
        <v>12</v>
      </c>
      <c r="E55" t="s">
        <v>132</v>
      </c>
      <c r="F55" t="s">
        <v>133</v>
      </c>
      <c r="G55" t="s">
        <v>134</v>
      </c>
    </row>
    <row r="56" spans="1:8" x14ac:dyDescent="0.55000000000000004">
      <c r="A56" t="str">
        <f t="shared" si="1"/>
        <v>01</v>
      </c>
      <c r="B56" t="str">
        <f>"01.0802"</f>
        <v>01.0802</v>
      </c>
      <c r="C56" t="s">
        <v>8</v>
      </c>
      <c r="D56" t="s">
        <v>12</v>
      </c>
      <c r="E56" t="s">
        <v>135</v>
      </c>
      <c r="F56" t="s">
        <v>136</v>
      </c>
      <c r="G56" t="s">
        <v>137</v>
      </c>
    </row>
    <row r="57" spans="1:8" x14ac:dyDescent="0.55000000000000004">
      <c r="A57" t="str">
        <f t="shared" si="1"/>
        <v>01</v>
      </c>
      <c r="B57" t="str">
        <f>"01.0899"</f>
        <v>01.0899</v>
      </c>
      <c r="C57" t="s">
        <v>8</v>
      </c>
      <c r="D57" t="s">
        <v>12</v>
      </c>
      <c r="E57" t="s">
        <v>138</v>
      </c>
      <c r="F57" t="s">
        <v>139</v>
      </c>
    </row>
    <row r="58" spans="1:8" x14ac:dyDescent="0.55000000000000004">
      <c r="A58" t="str">
        <f t="shared" si="1"/>
        <v>01</v>
      </c>
      <c r="B58" t="str">
        <f>"01.09"</f>
        <v>01.09</v>
      </c>
      <c r="C58" t="s">
        <v>8</v>
      </c>
      <c r="D58" t="s">
        <v>12</v>
      </c>
      <c r="E58" t="s">
        <v>140</v>
      </c>
      <c r="F58" t="s">
        <v>141</v>
      </c>
    </row>
    <row r="59" spans="1:8" x14ac:dyDescent="0.55000000000000004">
      <c r="A59" t="str">
        <f t="shared" si="1"/>
        <v>01</v>
      </c>
      <c r="B59" t="str">
        <f>"01.0901"</f>
        <v>01.0901</v>
      </c>
      <c r="C59" t="s">
        <v>8</v>
      </c>
      <c r="D59" t="s">
        <v>12</v>
      </c>
      <c r="E59" t="s">
        <v>142</v>
      </c>
      <c r="F59" t="s">
        <v>143</v>
      </c>
      <c r="G59" t="s">
        <v>144</v>
      </c>
    </row>
    <row r="60" spans="1:8" x14ac:dyDescent="0.55000000000000004">
      <c r="A60" t="str">
        <f t="shared" si="1"/>
        <v>01</v>
      </c>
      <c r="B60" t="str">
        <f>"01.0902"</f>
        <v>01.0902</v>
      </c>
      <c r="C60" t="s">
        <v>8</v>
      </c>
      <c r="D60" t="s">
        <v>12</v>
      </c>
      <c r="E60" t="s">
        <v>145</v>
      </c>
      <c r="F60" t="s">
        <v>146</v>
      </c>
      <c r="G60" t="s">
        <v>147</v>
      </c>
    </row>
    <row r="61" spans="1:8" x14ac:dyDescent="0.55000000000000004">
      <c r="A61" t="str">
        <f t="shared" si="1"/>
        <v>01</v>
      </c>
      <c r="B61" t="str">
        <f>"01.0903"</f>
        <v>01.0903</v>
      </c>
      <c r="C61" t="s">
        <v>8</v>
      </c>
      <c r="D61" t="s">
        <v>12</v>
      </c>
      <c r="E61" t="s">
        <v>148</v>
      </c>
      <c r="F61" t="s">
        <v>149</v>
      </c>
    </row>
    <row r="62" spans="1:8" x14ac:dyDescent="0.55000000000000004">
      <c r="A62" t="str">
        <f t="shared" si="1"/>
        <v>01</v>
      </c>
      <c r="B62" t="str">
        <f>"01.0904"</f>
        <v>01.0904</v>
      </c>
      <c r="C62" t="s">
        <v>8</v>
      </c>
      <c r="D62" t="s">
        <v>12</v>
      </c>
      <c r="E62" t="s">
        <v>150</v>
      </c>
      <c r="F62" t="s">
        <v>151</v>
      </c>
    </row>
    <row r="63" spans="1:8" x14ac:dyDescent="0.55000000000000004">
      <c r="A63" t="str">
        <f t="shared" si="1"/>
        <v>01</v>
      </c>
      <c r="B63" t="str">
        <f>"01.0905"</f>
        <v>01.0905</v>
      </c>
      <c r="C63" t="s">
        <v>8</v>
      </c>
      <c r="D63" t="s">
        <v>12</v>
      </c>
      <c r="E63" t="s">
        <v>152</v>
      </c>
      <c r="F63" t="s">
        <v>153</v>
      </c>
    </row>
    <row r="64" spans="1:8" x14ac:dyDescent="0.55000000000000004">
      <c r="A64" t="str">
        <f t="shared" si="1"/>
        <v>01</v>
      </c>
      <c r="B64" t="str">
        <f>"01.0906"</f>
        <v>01.0906</v>
      </c>
      <c r="C64" t="s">
        <v>8</v>
      </c>
      <c r="D64" t="s">
        <v>12</v>
      </c>
      <c r="E64" t="s">
        <v>154</v>
      </c>
      <c r="F64" t="s">
        <v>155</v>
      </c>
      <c r="H64" t="s">
        <v>156</v>
      </c>
    </row>
    <row r="65" spans="1:8" x14ac:dyDescent="0.55000000000000004">
      <c r="A65" t="str">
        <f t="shared" si="1"/>
        <v>01</v>
      </c>
      <c r="B65" t="str">
        <f>"01.0907"</f>
        <v>01.0907</v>
      </c>
      <c r="C65" t="s">
        <v>8</v>
      </c>
      <c r="D65" t="s">
        <v>12</v>
      </c>
      <c r="E65" t="s">
        <v>157</v>
      </c>
      <c r="F65" t="s">
        <v>158</v>
      </c>
    </row>
    <row r="66" spans="1:8" x14ac:dyDescent="0.55000000000000004">
      <c r="A66" t="str">
        <f t="shared" si="1"/>
        <v>01</v>
      </c>
      <c r="B66" t="str">
        <f>"01.0999"</f>
        <v>01.0999</v>
      </c>
      <c r="C66" t="s">
        <v>8</v>
      </c>
      <c r="D66" t="s">
        <v>12</v>
      </c>
      <c r="E66" t="s">
        <v>159</v>
      </c>
      <c r="F66" t="s">
        <v>160</v>
      </c>
    </row>
    <row r="67" spans="1:8" x14ac:dyDescent="0.55000000000000004">
      <c r="A67" t="str">
        <f t="shared" ref="A67:A98" si="2">"01"</f>
        <v>01</v>
      </c>
      <c r="B67" t="str">
        <f>"01.10"</f>
        <v>01.10</v>
      </c>
      <c r="C67" t="s">
        <v>8</v>
      </c>
      <c r="D67" t="s">
        <v>12</v>
      </c>
      <c r="E67" t="s">
        <v>161</v>
      </c>
      <c r="F67" t="s">
        <v>162</v>
      </c>
    </row>
    <row r="68" spans="1:8" x14ac:dyDescent="0.55000000000000004">
      <c r="A68" t="str">
        <f t="shared" si="2"/>
        <v>01</v>
      </c>
      <c r="B68" t="str">
        <f>"01.1001"</f>
        <v>01.1001</v>
      </c>
      <c r="C68" t="s">
        <v>8</v>
      </c>
      <c r="D68" t="s">
        <v>12</v>
      </c>
      <c r="E68" t="s">
        <v>163</v>
      </c>
      <c r="F68" t="s">
        <v>164</v>
      </c>
      <c r="G68" t="s">
        <v>165</v>
      </c>
      <c r="H68" t="s">
        <v>166</v>
      </c>
    </row>
    <row r="69" spans="1:8" x14ac:dyDescent="0.55000000000000004">
      <c r="A69" t="str">
        <f t="shared" si="2"/>
        <v>01</v>
      </c>
      <c r="B69" t="str">
        <f>"01.1002"</f>
        <v>01.1002</v>
      </c>
      <c r="C69" t="s">
        <v>8</v>
      </c>
      <c r="D69" t="s">
        <v>12</v>
      </c>
      <c r="E69" t="s">
        <v>167</v>
      </c>
      <c r="F69" t="s">
        <v>168</v>
      </c>
    </row>
    <row r="70" spans="1:8" x14ac:dyDescent="0.55000000000000004">
      <c r="A70" t="str">
        <f t="shared" si="2"/>
        <v>01</v>
      </c>
      <c r="B70" t="str">
        <f>"01.1003"</f>
        <v>01.1003</v>
      </c>
      <c r="C70" t="s">
        <v>47</v>
      </c>
      <c r="D70" t="s">
        <v>12</v>
      </c>
      <c r="E70" t="s">
        <v>169</v>
      </c>
      <c r="F70" t="s">
        <v>170</v>
      </c>
      <c r="G70" t="s">
        <v>171</v>
      </c>
      <c r="H70" t="s">
        <v>172</v>
      </c>
    </row>
    <row r="71" spans="1:8" x14ac:dyDescent="0.55000000000000004">
      <c r="A71" t="str">
        <f t="shared" si="2"/>
        <v>01</v>
      </c>
      <c r="B71" t="str">
        <f>"01.1004"</f>
        <v>01.1004</v>
      </c>
      <c r="C71" t="s">
        <v>173</v>
      </c>
      <c r="D71" t="s">
        <v>12</v>
      </c>
      <c r="E71" t="s">
        <v>71</v>
      </c>
      <c r="F71" t="s">
        <v>174</v>
      </c>
      <c r="H71" t="s">
        <v>175</v>
      </c>
    </row>
    <row r="72" spans="1:8" x14ac:dyDescent="0.55000000000000004">
      <c r="A72" t="str">
        <f t="shared" si="2"/>
        <v>01</v>
      </c>
      <c r="B72" t="str">
        <f>"01.1005"</f>
        <v>01.1005</v>
      </c>
      <c r="C72" t="s">
        <v>47</v>
      </c>
      <c r="D72" t="s">
        <v>12</v>
      </c>
      <c r="E72" t="s">
        <v>176</v>
      </c>
      <c r="F72" t="s">
        <v>177</v>
      </c>
      <c r="G72" t="s">
        <v>171</v>
      </c>
    </row>
    <row r="73" spans="1:8" x14ac:dyDescent="0.55000000000000004">
      <c r="A73" t="str">
        <f t="shared" si="2"/>
        <v>01</v>
      </c>
      <c r="B73" t="str">
        <f>"01.1099"</f>
        <v>01.1099</v>
      </c>
      <c r="C73" t="s">
        <v>8</v>
      </c>
      <c r="D73" t="s">
        <v>12</v>
      </c>
      <c r="E73" t="s">
        <v>178</v>
      </c>
      <c r="F73" t="s">
        <v>179</v>
      </c>
    </row>
    <row r="74" spans="1:8" x14ac:dyDescent="0.55000000000000004">
      <c r="A74" t="str">
        <f t="shared" si="2"/>
        <v>01</v>
      </c>
      <c r="B74" t="str">
        <f>"01.11"</f>
        <v>01.11</v>
      </c>
      <c r="C74" t="s">
        <v>8</v>
      </c>
      <c r="D74" t="s">
        <v>12</v>
      </c>
      <c r="E74" t="s">
        <v>180</v>
      </c>
      <c r="F74" t="s">
        <v>181</v>
      </c>
    </row>
    <row r="75" spans="1:8" x14ac:dyDescent="0.55000000000000004">
      <c r="A75" t="str">
        <f t="shared" si="2"/>
        <v>01</v>
      </c>
      <c r="B75" t="str">
        <f>"01.1101"</f>
        <v>01.1101</v>
      </c>
      <c r="C75" t="s">
        <v>8</v>
      </c>
      <c r="D75" t="s">
        <v>12</v>
      </c>
      <c r="E75" t="s">
        <v>182</v>
      </c>
      <c r="F75" t="s">
        <v>183</v>
      </c>
      <c r="G75" t="s">
        <v>184</v>
      </c>
    </row>
    <row r="76" spans="1:8" x14ac:dyDescent="0.55000000000000004">
      <c r="A76" t="str">
        <f t="shared" si="2"/>
        <v>01</v>
      </c>
      <c r="B76" t="str">
        <f>"01.1102"</f>
        <v>01.1102</v>
      </c>
      <c r="C76" t="s">
        <v>8</v>
      </c>
      <c r="D76" t="s">
        <v>12</v>
      </c>
      <c r="E76" t="s">
        <v>185</v>
      </c>
      <c r="F76" t="s">
        <v>186</v>
      </c>
    </row>
    <row r="77" spans="1:8" x14ac:dyDescent="0.55000000000000004">
      <c r="A77" t="str">
        <f t="shared" si="2"/>
        <v>01</v>
      </c>
      <c r="B77" t="str">
        <f>"01.1103"</f>
        <v>01.1103</v>
      </c>
      <c r="C77" t="s">
        <v>8</v>
      </c>
      <c r="D77" t="s">
        <v>12</v>
      </c>
      <c r="E77" t="s">
        <v>187</v>
      </c>
      <c r="F77" t="s">
        <v>188</v>
      </c>
    </row>
    <row r="78" spans="1:8" x14ac:dyDescent="0.55000000000000004">
      <c r="A78" t="str">
        <f t="shared" si="2"/>
        <v>01</v>
      </c>
      <c r="B78" t="str">
        <f>"01.1104"</f>
        <v>01.1104</v>
      </c>
      <c r="C78" t="s">
        <v>8</v>
      </c>
      <c r="D78" t="s">
        <v>12</v>
      </c>
      <c r="E78" t="s">
        <v>189</v>
      </c>
      <c r="F78" t="s">
        <v>190</v>
      </c>
      <c r="G78" t="s">
        <v>191</v>
      </c>
    </row>
    <row r="79" spans="1:8" x14ac:dyDescent="0.55000000000000004">
      <c r="A79" t="str">
        <f t="shared" si="2"/>
        <v>01</v>
      </c>
      <c r="B79" t="str">
        <f>"01.1105"</f>
        <v>01.1105</v>
      </c>
      <c r="C79" t="s">
        <v>8</v>
      </c>
      <c r="D79" t="s">
        <v>12</v>
      </c>
      <c r="E79" t="s">
        <v>192</v>
      </c>
      <c r="F79" t="s">
        <v>193</v>
      </c>
      <c r="G79" t="s">
        <v>194</v>
      </c>
      <c r="H79" t="s">
        <v>195</v>
      </c>
    </row>
    <row r="80" spans="1:8" x14ac:dyDescent="0.55000000000000004">
      <c r="A80" t="str">
        <f t="shared" si="2"/>
        <v>01</v>
      </c>
      <c r="B80" t="str">
        <f>"01.1106"</f>
        <v>01.1106</v>
      </c>
      <c r="C80" t="s">
        <v>8</v>
      </c>
      <c r="D80" t="s">
        <v>12</v>
      </c>
      <c r="E80" t="s">
        <v>196</v>
      </c>
      <c r="F80" t="s">
        <v>197</v>
      </c>
    </row>
    <row r="81" spans="1:8" x14ac:dyDescent="0.55000000000000004">
      <c r="A81" t="str">
        <f t="shared" si="2"/>
        <v>01</v>
      </c>
      <c r="B81" t="str">
        <f>"01.1180"</f>
        <v>01.1180</v>
      </c>
      <c r="C81" t="s">
        <v>47</v>
      </c>
      <c r="D81" t="s">
        <v>12</v>
      </c>
      <c r="E81" t="s">
        <v>82</v>
      </c>
      <c r="F81" t="s">
        <v>83</v>
      </c>
    </row>
    <row r="82" spans="1:8" x14ac:dyDescent="0.55000000000000004">
      <c r="A82" t="str">
        <f t="shared" si="2"/>
        <v>01</v>
      </c>
      <c r="B82" t="str">
        <f>"01.1199"</f>
        <v>01.1199</v>
      </c>
      <c r="C82" t="s">
        <v>8</v>
      </c>
      <c r="D82" t="s">
        <v>12</v>
      </c>
      <c r="E82" t="s">
        <v>198</v>
      </c>
      <c r="F82" t="s">
        <v>199</v>
      </c>
    </row>
    <row r="83" spans="1:8" x14ac:dyDescent="0.55000000000000004">
      <c r="A83" t="str">
        <f t="shared" si="2"/>
        <v>01</v>
      </c>
      <c r="B83" t="str">
        <f>"01.12"</f>
        <v>01.12</v>
      </c>
      <c r="C83" t="s">
        <v>8</v>
      </c>
      <c r="D83" t="s">
        <v>12</v>
      </c>
      <c r="E83" t="s">
        <v>200</v>
      </c>
      <c r="F83" t="s">
        <v>201</v>
      </c>
    </row>
    <row r="84" spans="1:8" x14ac:dyDescent="0.55000000000000004">
      <c r="A84" t="str">
        <f t="shared" si="2"/>
        <v>01</v>
      </c>
      <c r="B84" t="str">
        <f>"01.1201"</f>
        <v>01.1201</v>
      </c>
      <c r="C84" t="s">
        <v>8</v>
      </c>
      <c r="D84" t="s">
        <v>12</v>
      </c>
      <c r="E84" t="s">
        <v>202</v>
      </c>
      <c r="F84" t="s">
        <v>203</v>
      </c>
    </row>
    <row r="85" spans="1:8" x14ac:dyDescent="0.55000000000000004">
      <c r="A85" t="str">
        <f t="shared" si="2"/>
        <v>01</v>
      </c>
      <c r="B85" t="str">
        <f>"01.1202"</f>
        <v>01.1202</v>
      </c>
      <c r="C85" t="s">
        <v>8</v>
      </c>
      <c r="D85" t="s">
        <v>12</v>
      </c>
      <c r="E85" t="s">
        <v>204</v>
      </c>
      <c r="F85" t="s">
        <v>205</v>
      </c>
    </row>
    <row r="86" spans="1:8" x14ac:dyDescent="0.55000000000000004">
      <c r="A86" t="str">
        <f t="shared" si="2"/>
        <v>01</v>
      </c>
      <c r="B86" t="str">
        <f>"01.1203"</f>
        <v>01.1203</v>
      </c>
      <c r="C86" t="s">
        <v>8</v>
      </c>
      <c r="D86" t="s">
        <v>12</v>
      </c>
      <c r="E86" t="s">
        <v>206</v>
      </c>
      <c r="F86" t="s">
        <v>207</v>
      </c>
    </row>
    <row r="87" spans="1:8" x14ac:dyDescent="0.55000000000000004">
      <c r="A87" t="str">
        <f t="shared" si="2"/>
        <v>01</v>
      </c>
      <c r="B87" t="str">
        <f>"01.1299"</f>
        <v>01.1299</v>
      </c>
      <c r="C87" t="s">
        <v>8</v>
      </c>
      <c r="D87" t="s">
        <v>12</v>
      </c>
      <c r="E87" t="s">
        <v>208</v>
      </c>
      <c r="F87" t="s">
        <v>209</v>
      </c>
      <c r="H87" t="s">
        <v>210</v>
      </c>
    </row>
    <row r="88" spans="1:8" x14ac:dyDescent="0.55000000000000004">
      <c r="A88" t="str">
        <f t="shared" si="2"/>
        <v>01</v>
      </c>
      <c r="B88" t="str">
        <f>"01.13"</f>
        <v>01.13</v>
      </c>
      <c r="C88" t="s">
        <v>47</v>
      </c>
      <c r="D88" t="s">
        <v>12</v>
      </c>
      <c r="E88" t="s">
        <v>211</v>
      </c>
      <c r="F88" t="s">
        <v>212</v>
      </c>
    </row>
    <row r="89" spans="1:8" x14ac:dyDescent="0.55000000000000004">
      <c r="A89" t="str">
        <f t="shared" si="2"/>
        <v>01</v>
      </c>
      <c r="B89" t="str">
        <f>"01.1302"</f>
        <v>01.1302</v>
      </c>
      <c r="C89" t="s">
        <v>173</v>
      </c>
      <c r="D89" t="s">
        <v>12</v>
      </c>
      <c r="E89" t="s">
        <v>213</v>
      </c>
      <c r="F89" t="s">
        <v>214</v>
      </c>
    </row>
    <row r="90" spans="1:8" x14ac:dyDescent="0.55000000000000004">
      <c r="A90" t="str">
        <f t="shared" si="2"/>
        <v>01</v>
      </c>
      <c r="B90" t="str">
        <f>"01.1399"</f>
        <v>01.1399</v>
      </c>
      <c r="C90" t="s">
        <v>47</v>
      </c>
      <c r="D90" t="s">
        <v>12</v>
      </c>
      <c r="E90" t="s">
        <v>215</v>
      </c>
      <c r="F90" t="s">
        <v>216</v>
      </c>
    </row>
    <row r="91" spans="1:8" x14ac:dyDescent="0.55000000000000004">
      <c r="A91" t="str">
        <f t="shared" si="2"/>
        <v>01</v>
      </c>
      <c r="B91" t="str">
        <f>"01.80"</f>
        <v>01.80</v>
      </c>
      <c r="C91" t="s">
        <v>173</v>
      </c>
      <c r="D91" t="s">
        <v>12</v>
      </c>
      <c r="E91" t="s">
        <v>217</v>
      </c>
      <c r="F91" t="s">
        <v>218</v>
      </c>
    </row>
    <row r="92" spans="1:8" x14ac:dyDescent="0.55000000000000004">
      <c r="A92" t="str">
        <f t="shared" si="2"/>
        <v>01</v>
      </c>
      <c r="B92" t="str">
        <f>"01.8001"</f>
        <v>01.8001</v>
      </c>
      <c r="C92" t="s">
        <v>173</v>
      </c>
      <c r="D92" t="s">
        <v>12</v>
      </c>
      <c r="E92" t="s">
        <v>217</v>
      </c>
      <c r="F92" t="s">
        <v>219</v>
      </c>
      <c r="H92" t="s">
        <v>220</v>
      </c>
    </row>
    <row r="93" spans="1:8" x14ac:dyDescent="0.55000000000000004">
      <c r="A93" t="str">
        <f t="shared" si="2"/>
        <v>01</v>
      </c>
      <c r="B93" t="str">
        <f>"01.81"</f>
        <v>01.81</v>
      </c>
      <c r="C93" t="s">
        <v>173</v>
      </c>
      <c r="D93" t="s">
        <v>12</v>
      </c>
      <c r="E93" t="s">
        <v>221</v>
      </c>
      <c r="F93" t="s">
        <v>222</v>
      </c>
    </row>
    <row r="94" spans="1:8" x14ac:dyDescent="0.55000000000000004">
      <c r="A94" t="str">
        <f t="shared" si="2"/>
        <v>01</v>
      </c>
      <c r="B94" t="str">
        <f>"01.8101"</f>
        <v>01.8101</v>
      </c>
      <c r="C94" t="s">
        <v>173</v>
      </c>
      <c r="D94" t="s">
        <v>12</v>
      </c>
      <c r="E94" t="s">
        <v>223</v>
      </c>
      <c r="F94" t="s">
        <v>224</v>
      </c>
      <c r="H94" t="s">
        <v>225</v>
      </c>
    </row>
    <row r="95" spans="1:8" x14ac:dyDescent="0.55000000000000004">
      <c r="A95" t="str">
        <f t="shared" si="2"/>
        <v>01</v>
      </c>
      <c r="B95" t="str">
        <f>"01.8102"</f>
        <v>01.8102</v>
      </c>
      <c r="C95" t="s">
        <v>173</v>
      </c>
      <c r="D95" t="s">
        <v>12</v>
      </c>
      <c r="E95" t="s">
        <v>226</v>
      </c>
      <c r="F95" t="s">
        <v>227</v>
      </c>
      <c r="H95" t="s">
        <v>228</v>
      </c>
    </row>
    <row r="96" spans="1:8" x14ac:dyDescent="0.55000000000000004">
      <c r="A96" t="str">
        <f t="shared" si="2"/>
        <v>01</v>
      </c>
      <c r="B96" t="str">
        <f>"01.8103"</f>
        <v>01.8103</v>
      </c>
      <c r="C96" t="s">
        <v>173</v>
      </c>
      <c r="D96" t="s">
        <v>12</v>
      </c>
      <c r="E96" t="s">
        <v>229</v>
      </c>
      <c r="F96" t="s">
        <v>230</v>
      </c>
      <c r="H96" t="s">
        <v>231</v>
      </c>
    </row>
    <row r="97" spans="1:8" x14ac:dyDescent="0.55000000000000004">
      <c r="A97" t="str">
        <f t="shared" si="2"/>
        <v>01</v>
      </c>
      <c r="B97" t="str">
        <f>"01.8104"</f>
        <v>01.8104</v>
      </c>
      <c r="C97" t="s">
        <v>173</v>
      </c>
      <c r="D97" t="s">
        <v>12</v>
      </c>
      <c r="E97" t="s">
        <v>232</v>
      </c>
      <c r="F97" t="s">
        <v>233</v>
      </c>
      <c r="H97" t="s">
        <v>234</v>
      </c>
    </row>
    <row r="98" spans="1:8" x14ac:dyDescent="0.55000000000000004">
      <c r="A98" t="str">
        <f t="shared" si="2"/>
        <v>01</v>
      </c>
      <c r="B98" t="str">
        <f>"01.8105"</f>
        <v>01.8105</v>
      </c>
      <c r="C98" t="s">
        <v>173</v>
      </c>
      <c r="D98" t="s">
        <v>12</v>
      </c>
      <c r="E98" t="s">
        <v>235</v>
      </c>
      <c r="F98" t="s">
        <v>236</v>
      </c>
      <c r="H98" t="s">
        <v>237</v>
      </c>
    </row>
    <row r="99" spans="1:8" x14ac:dyDescent="0.55000000000000004">
      <c r="A99" t="str">
        <f t="shared" ref="A99:A116" si="3">"01"</f>
        <v>01</v>
      </c>
      <c r="B99" t="str">
        <f>"01.8106"</f>
        <v>01.8106</v>
      </c>
      <c r="C99" t="s">
        <v>173</v>
      </c>
      <c r="D99" t="s">
        <v>12</v>
      </c>
      <c r="E99" t="s">
        <v>238</v>
      </c>
      <c r="F99" t="s">
        <v>239</v>
      </c>
      <c r="H99" t="s">
        <v>240</v>
      </c>
    </row>
    <row r="100" spans="1:8" x14ac:dyDescent="0.55000000000000004">
      <c r="A100" t="str">
        <f t="shared" si="3"/>
        <v>01</v>
      </c>
      <c r="B100" t="str">
        <f>"01.8107"</f>
        <v>01.8107</v>
      </c>
      <c r="C100" t="s">
        <v>173</v>
      </c>
      <c r="D100" t="s">
        <v>12</v>
      </c>
      <c r="E100" t="s">
        <v>241</v>
      </c>
      <c r="F100" t="s">
        <v>242</v>
      </c>
      <c r="H100" t="s">
        <v>243</v>
      </c>
    </row>
    <row r="101" spans="1:8" x14ac:dyDescent="0.55000000000000004">
      <c r="A101" t="str">
        <f t="shared" si="3"/>
        <v>01</v>
      </c>
      <c r="B101" t="str">
        <f>"01.8108"</f>
        <v>01.8108</v>
      </c>
      <c r="C101" t="s">
        <v>173</v>
      </c>
      <c r="D101" t="s">
        <v>12</v>
      </c>
      <c r="E101" t="s">
        <v>244</v>
      </c>
      <c r="F101" t="s">
        <v>245</v>
      </c>
      <c r="H101" t="s">
        <v>246</v>
      </c>
    </row>
    <row r="102" spans="1:8" x14ac:dyDescent="0.55000000000000004">
      <c r="A102" t="str">
        <f t="shared" si="3"/>
        <v>01</v>
      </c>
      <c r="B102" t="str">
        <f>"01.8109"</f>
        <v>01.8109</v>
      </c>
      <c r="C102" t="s">
        <v>173</v>
      </c>
      <c r="D102" t="s">
        <v>12</v>
      </c>
      <c r="E102" t="s">
        <v>247</v>
      </c>
      <c r="F102" t="s">
        <v>248</v>
      </c>
      <c r="H102" t="s">
        <v>249</v>
      </c>
    </row>
    <row r="103" spans="1:8" x14ac:dyDescent="0.55000000000000004">
      <c r="A103" t="str">
        <f t="shared" si="3"/>
        <v>01</v>
      </c>
      <c r="B103" t="str">
        <f>"01.8110"</f>
        <v>01.8110</v>
      </c>
      <c r="C103" t="s">
        <v>173</v>
      </c>
      <c r="D103" t="s">
        <v>12</v>
      </c>
      <c r="E103" t="s">
        <v>250</v>
      </c>
      <c r="F103" t="s">
        <v>251</v>
      </c>
      <c r="H103" t="s">
        <v>252</v>
      </c>
    </row>
    <row r="104" spans="1:8" x14ac:dyDescent="0.55000000000000004">
      <c r="A104" t="str">
        <f t="shared" si="3"/>
        <v>01</v>
      </c>
      <c r="B104" t="str">
        <f>"01.8111"</f>
        <v>01.8111</v>
      </c>
      <c r="C104" t="s">
        <v>173</v>
      </c>
      <c r="D104" t="s">
        <v>12</v>
      </c>
      <c r="E104" t="s">
        <v>253</v>
      </c>
      <c r="F104" t="s">
        <v>254</v>
      </c>
      <c r="H104" t="s">
        <v>255</v>
      </c>
    </row>
    <row r="105" spans="1:8" x14ac:dyDescent="0.55000000000000004">
      <c r="A105" t="str">
        <f t="shared" si="3"/>
        <v>01</v>
      </c>
      <c r="B105" t="str">
        <f>"01.8199"</f>
        <v>01.8199</v>
      </c>
      <c r="C105" t="s">
        <v>173</v>
      </c>
      <c r="D105" t="s">
        <v>12</v>
      </c>
      <c r="E105" t="s">
        <v>256</v>
      </c>
      <c r="F105" t="s">
        <v>257</v>
      </c>
      <c r="H105" t="s">
        <v>258</v>
      </c>
    </row>
    <row r="106" spans="1:8" x14ac:dyDescent="0.55000000000000004">
      <c r="A106" t="str">
        <f t="shared" si="3"/>
        <v>01</v>
      </c>
      <c r="B106" t="str">
        <f>"01.82"</f>
        <v>01.82</v>
      </c>
      <c r="C106" t="s">
        <v>47</v>
      </c>
      <c r="D106" t="s">
        <v>12</v>
      </c>
      <c r="E106" t="s">
        <v>259</v>
      </c>
      <c r="F106" t="s">
        <v>260</v>
      </c>
    </row>
    <row r="107" spans="1:8" x14ac:dyDescent="0.55000000000000004">
      <c r="A107" t="str">
        <f t="shared" si="3"/>
        <v>01</v>
      </c>
      <c r="B107" t="str">
        <f>"01.8201"</f>
        <v>01.8201</v>
      </c>
      <c r="C107" t="s">
        <v>47</v>
      </c>
      <c r="D107" t="s">
        <v>12</v>
      </c>
      <c r="E107" t="s">
        <v>261</v>
      </c>
      <c r="F107" t="s">
        <v>262</v>
      </c>
    </row>
    <row r="108" spans="1:8" x14ac:dyDescent="0.55000000000000004">
      <c r="A108" t="str">
        <f t="shared" si="3"/>
        <v>01</v>
      </c>
      <c r="B108" t="str">
        <f>"01.8202"</f>
        <v>01.8202</v>
      </c>
      <c r="C108" t="s">
        <v>47</v>
      </c>
      <c r="D108" t="s">
        <v>12</v>
      </c>
      <c r="E108" t="s">
        <v>263</v>
      </c>
      <c r="F108" t="s">
        <v>264</v>
      </c>
      <c r="H108" t="s">
        <v>265</v>
      </c>
    </row>
    <row r="109" spans="1:8" x14ac:dyDescent="0.55000000000000004">
      <c r="A109" t="str">
        <f t="shared" si="3"/>
        <v>01</v>
      </c>
      <c r="B109" t="str">
        <f>"01.8203"</f>
        <v>01.8203</v>
      </c>
      <c r="C109" t="s">
        <v>47</v>
      </c>
      <c r="D109" t="s">
        <v>12</v>
      </c>
      <c r="E109" t="s">
        <v>266</v>
      </c>
      <c r="F109" t="s">
        <v>267</v>
      </c>
      <c r="H109" t="s">
        <v>268</v>
      </c>
    </row>
    <row r="110" spans="1:8" x14ac:dyDescent="0.55000000000000004">
      <c r="A110" t="str">
        <f t="shared" si="3"/>
        <v>01</v>
      </c>
      <c r="B110" t="str">
        <f>"01.8204"</f>
        <v>01.8204</v>
      </c>
      <c r="C110" t="s">
        <v>47</v>
      </c>
      <c r="D110" t="s">
        <v>12</v>
      </c>
      <c r="E110" t="s">
        <v>269</v>
      </c>
      <c r="F110" t="s">
        <v>270</v>
      </c>
      <c r="H110" t="s">
        <v>271</v>
      </c>
    </row>
    <row r="111" spans="1:8" x14ac:dyDescent="0.55000000000000004">
      <c r="A111" t="str">
        <f t="shared" si="3"/>
        <v>01</v>
      </c>
      <c r="B111" t="str">
        <f>"01.8299"</f>
        <v>01.8299</v>
      </c>
      <c r="C111" t="s">
        <v>47</v>
      </c>
      <c r="D111" t="s">
        <v>12</v>
      </c>
      <c r="E111" t="s">
        <v>272</v>
      </c>
      <c r="F111" t="s">
        <v>273</v>
      </c>
    </row>
    <row r="112" spans="1:8" x14ac:dyDescent="0.55000000000000004">
      <c r="A112" t="str">
        <f t="shared" si="3"/>
        <v>01</v>
      </c>
      <c r="B112" t="str">
        <f>"01.83"</f>
        <v>01.83</v>
      </c>
      <c r="C112" t="s">
        <v>47</v>
      </c>
      <c r="D112" t="s">
        <v>12</v>
      </c>
      <c r="E112" t="s">
        <v>274</v>
      </c>
      <c r="F112" t="s">
        <v>275</v>
      </c>
    </row>
    <row r="113" spans="1:8" x14ac:dyDescent="0.55000000000000004">
      <c r="A113" t="str">
        <f t="shared" si="3"/>
        <v>01</v>
      </c>
      <c r="B113" t="str">
        <f>"01.8301"</f>
        <v>01.8301</v>
      </c>
      <c r="C113" t="s">
        <v>173</v>
      </c>
      <c r="D113" t="s">
        <v>12</v>
      </c>
      <c r="E113" t="s">
        <v>276</v>
      </c>
      <c r="F113" t="s">
        <v>277</v>
      </c>
    </row>
    <row r="114" spans="1:8" x14ac:dyDescent="0.55000000000000004">
      <c r="A114" t="str">
        <f t="shared" si="3"/>
        <v>01</v>
      </c>
      <c r="B114" t="str">
        <f>"01.8399"</f>
        <v>01.8399</v>
      </c>
      <c r="C114" t="s">
        <v>47</v>
      </c>
      <c r="D114" t="s">
        <v>12</v>
      </c>
      <c r="E114" t="s">
        <v>278</v>
      </c>
      <c r="F114" t="s">
        <v>279</v>
      </c>
    </row>
    <row r="115" spans="1:8" x14ac:dyDescent="0.55000000000000004">
      <c r="A115" t="str">
        <f t="shared" si="3"/>
        <v>01</v>
      </c>
      <c r="B115" t="str">
        <f>"01.99"</f>
        <v>01.99</v>
      </c>
      <c r="C115" t="s">
        <v>8</v>
      </c>
      <c r="D115" t="s">
        <v>9</v>
      </c>
      <c r="E115" t="s">
        <v>280</v>
      </c>
      <c r="F115" t="s">
        <v>281</v>
      </c>
    </row>
    <row r="116" spans="1:8" x14ac:dyDescent="0.55000000000000004">
      <c r="A116" t="str">
        <f t="shared" si="3"/>
        <v>01</v>
      </c>
      <c r="B116" t="str">
        <f>"01.9999"</f>
        <v>01.9999</v>
      </c>
      <c r="C116" t="s">
        <v>8</v>
      </c>
      <c r="D116" t="s">
        <v>9</v>
      </c>
      <c r="E116" t="s">
        <v>280</v>
      </c>
      <c r="F116" t="s">
        <v>282</v>
      </c>
    </row>
    <row r="117" spans="1:8" x14ac:dyDescent="0.55000000000000004">
      <c r="A117" t="str">
        <f>"03"</f>
        <v>03</v>
      </c>
      <c r="B117" t="str">
        <f>"03"</f>
        <v>03</v>
      </c>
      <c r="C117" t="s">
        <v>8</v>
      </c>
      <c r="D117" t="s">
        <v>12</v>
      </c>
      <c r="E117" t="s">
        <v>283</v>
      </c>
      <c r="F117" t="s">
        <v>284</v>
      </c>
    </row>
    <row r="118" spans="1:8" x14ac:dyDescent="0.55000000000000004">
      <c r="A118" t="str">
        <f t="shared" ref="A118:A147" si="4">"03"</f>
        <v>03</v>
      </c>
      <c r="B118" t="str">
        <f>"03.01"</f>
        <v>03.01</v>
      </c>
      <c r="C118" t="s">
        <v>8</v>
      </c>
      <c r="D118" t="s">
        <v>12</v>
      </c>
      <c r="E118" t="s">
        <v>285</v>
      </c>
      <c r="F118" t="s">
        <v>286</v>
      </c>
    </row>
    <row r="119" spans="1:8" x14ac:dyDescent="0.55000000000000004">
      <c r="A119" t="str">
        <f t="shared" si="4"/>
        <v>03</v>
      </c>
      <c r="B119" t="str">
        <f>"03.0101"</f>
        <v>03.0101</v>
      </c>
      <c r="C119" t="s">
        <v>8</v>
      </c>
      <c r="D119" t="s">
        <v>12</v>
      </c>
      <c r="E119" t="s">
        <v>287</v>
      </c>
      <c r="F119" t="s">
        <v>288</v>
      </c>
      <c r="G119" t="s">
        <v>289</v>
      </c>
    </row>
    <row r="120" spans="1:8" x14ac:dyDescent="0.55000000000000004">
      <c r="A120" t="str">
        <f t="shared" si="4"/>
        <v>03</v>
      </c>
      <c r="B120" t="str">
        <f>"03.0103"</f>
        <v>03.0103</v>
      </c>
      <c r="C120" t="s">
        <v>8</v>
      </c>
      <c r="D120" t="s">
        <v>12</v>
      </c>
      <c r="E120" t="s">
        <v>290</v>
      </c>
      <c r="F120" t="s">
        <v>291</v>
      </c>
      <c r="G120" t="s">
        <v>292</v>
      </c>
      <c r="H120" t="s">
        <v>293</v>
      </c>
    </row>
    <row r="121" spans="1:8" x14ac:dyDescent="0.55000000000000004">
      <c r="A121" t="str">
        <f t="shared" si="4"/>
        <v>03</v>
      </c>
      <c r="B121" t="str">
        <f>"03.0104"</f>
        <v>03.0104</v>
      </c>
      <c r="C121" t="s">
        <v>8</v>
      </c>
      <c r="D121" t="s">
        <v>12</v>
      </c>
      <c r="E121" t="s">
        <v>294</v>
      </c>
      <c r="F121" t="s">
        <v>295</v>
      </c>
      <c r="G121" t="s">
        <v>296</v>
      </c>
      <c r="H121" t="s">
        <v>297</v>
      </c>
    </row>
    <row r="122" spans="1:8" x14ac:dyDescent="0.55000000000000004">
      <c r="A122" t="str">
        <f t="shared" si="4"/>
        <v>03</v>
      </c>
      <c r="B122" t="str">
        <f>"03.0199"</f>
        <v>03.0199</v>
      </c>
      <c r="C122" t="s">
        <v>8</v>
      </c>
      <c r="D122" t="s">
        <v>12</v>
      </c>
      <c r="E122" t="s">
        <v>298</v>
      </c>
      <c r="F122" t="s">
        <v>299</v>
      </c>
      <c r="H122" t="s">
        <v>300</v>
      </c>
    </row>
    <row r="123" spans="1:8" x14ac:dyDescent="0.55000000000000004">
      <c r="A123" t="str">
        <f t="shared" si="4"/>
        <v>03</v>
      </c>
      <c r="B123" t="str">
        <f>"03.02"</f>
        <v>03.02</v>
      </c>
      <c r="C123" t="s">
        <v>8</v>
      </c>
      <c r="D123" t="s">
        <v>9</v>
      </c>
      <c r="E123" t="s">
        <v>301</v>
      </c>
      <c r="F123" t="s">
        <v>302</v>
      </c>
    </row>
    <row r="124" spans="1:8" x14ac:dyDescent="0.55000000000000004">
      <c r="A124" t="str">
        <f t="shared" si="4"/>
        <v>03</v>
      </c>
      <c r="B124" t="str">
        <f>"03.0201"</f>
        <v>03.0201</v>
      </c>
      <c r="C124" t="s">
        <v>8</v>
      </c>
      <c r="D124" t="s">
        <v>9</v>
      </c>
      <c r="E124" t="s">
        <v>303</v>
      </c>
      <c r="F124" t="s">
        <v>304</v>
      </c>
      <c r="H124" t="s">
        <v>305</v>
      </c>
    </row>
    <row r="125" spans="1:8" x14ac:dyDescent="0.55000000000000004">
      <c r="A125" t="str">
        <f t="shared" si="4"/>
        <v>03</v>
      </c>
      <c r="B125" t="str">
        <f>"03.0204"</f>
        <v>03.0204</v>
      </c>
      <c r="C125" t="s">
        <v>8</v>
      </c>
      <c r="D125" t="s">
        <v>9</v>
      </c>
      <c r="E125" t="s">
        <v>306</v>
      </c>
      <c r="F125" t="s">
        <v>307</v>
      </c>
      <c r="G125" t="s">
        <v>308</v>
      </c>
      <c r="H125" t="s">
        <v>309</v>
      </c>
    </row>
    <row r="126" spans="1:8" x14ac:dyDescent="0.55000000000000004">
      <c r="A126" t="str">
        <f t="shared" si="4"/>
        <v>03</v>
      </c>
      <c r="B126" t="str">
        <f>"03.0205"</f>
        <v>03.0205</v>
      </c>
      <c r="C126" t="s">
        <v>8</v>
      </c>
      <c r="D126" t="s">
        <v>12</v>
      </c>
      <c r="E126" t="s">
        <v>310</v>
      </c>
      <c r="F126" t="s">
        <v>311</v>
      </c>
      <c r="G126" t="s">
        <v>312</v>
      </c>
    </row>
    <row r="127" spans="1:8" x14ac:dyDescent="0.55000000000000004">
      <c r="A127" t="str">
        <f t="shared" si="4"/>
        <v>03</v>
      </c>
      <c r="B127" t="str">
        <f>"03.0206"</f>
        <v>03.0206</v>
      </c>
      <c r="C127" t="s">
        <v>8</v>
      </c>
      <c r="D127" t="s">
        <v>12</v>
      </c>
      <c r="E127" t="s">
        <v>313</v>
      </c>
      <c r="F127" t="s">
        <v>314</v>
      </c>
      <c r="G127" t="s">
        <v>315</v>
      </c>
    </row>
    <row r="128" spans="1:8" x14ac:dyDescent="0.55000000000000004">
      <c r="A128" t="str">
        <f t="shared" si="4"/>
        <v>03</v>
      </c>
      <c r="B128" t="str">
        <f>"03.0207"</f>
        <v>03.0207</v>
      </c>
      <c r="C128" t="s">
        <v>8</v>
      </c>
      <c r="D128" t="s">
        <v>9</v>
      </c>
      <c r="E128" t="s">
        <v>316</v>
      </c>
      <c r="F128" t="s">
        <v>317</v>
      </c>
      <c r="G128" t="s">
        <v>318</v>
      </c>
      <c r="H128" t="s">
        <v>319</v>
      </c>
    </row>
    <row r="129" spans="1:8" x14ac:dyDescent="0.55000000000000004">
      <c r="A129" t="str">
        <f t="shared" si="4"/>
        <v>03</v>
      </c>
      <c r="B129" t="str">
        <f>"03.0208"</f>
        <v>03.0208</v>
      </c>
      <c r="C129" t="s">
        <v>8</v>
      </c>
      <c r="D129" t="s">
        <v>9</v>
      </c>
      <c r="E129" t="s">
        <v>320</v>
      </c>
      <c r="F129" t="s">
        <v>321</v>
      </c>
      <c r="H129" t="s">
        <v>322</v>
      </c>
    </row>
    <row r="130" spans="1:8" x14ac:dyDescent="0.55000000000000004">
      <c r="A130" t="str">
        <f t="shared" si="4"/>
        <v>03</v>
      </c>
      <c r="B130" t="str">
        <f>"03.0209"</f>
        <v>03.0209</v>
      </c>
      <c r="C130" t="s">
        <v>47</v>
      </c>
      <c r="D130" t="s">
        <v>12</v>
      </c>
      <c r="E130" t="s">
        <v>323</v>
      </c>
      <c r="F130" t="s">
        <v>324</v>
      </c>
    </row>
    <row r="131" spans="1:8" x14ac:dyDescent="0.55000000000000004">
      <c r="A131" t="str">
        <f t="shared" si="4"/>
        <v>03</v>
      </c>
      <c r="B131" t="str">
        <f>"03.0210"</f>
        <v>03.0210</v>
      </c>
      <c r="C131" t="s">
        <v>47</v>
      </c>
      <c r="D131" t="s">
        <v>12</v>
      </c>
      <c r="E131" t="s">
        <v>325</v>
      </c>
      <c r="F131" t="s">
        <v>326</v>
      </c>
    </row>
    <row r="132" spans="1:8" x14ac:dyDescent="0.55000000000000004">
      <c r="A132" t="str">
        <f t="shared" si="4"/>
        <v>03</v>
      </c>
      <c r="B132" t="str">
        <f>"03.0299"</f>
        <v>03.0299</v>
      </c>
      <c r="C132" t="s">
        <v>8</v>
      </c>
      <c r="D132" t="s">
        <v>9</v>
      </c>
      <c r="E132" t="s">
        <v>327</v>
      </c>
      <c r="F132" t="s">
        <v>328</v>
      </c>
    </row>
    <row r="133" spans="1:8" x14ac:dyDescent="0.55000000000000004">
      <c r="A133" t="str">
        <f t="shared" si="4"/>
        <v>03</v>
      </c>
      <c r="B133" t="str">
        <f>"03.03"</f>
        <v>03.03</v>
      </c>
      <c r="C133" t="s">
        <v>8</v>
      </c>
      <c r="D133" t="s">
        <v>12</v>
      </c>
      <c r="E133" t="s">
        <v>329</v>
      </c>
      <c r="F133" t="s">
        <v>330</v>
      </c>
    </row>
    <row r="134" spans="1:8" x14ac:dyDescent="0.55000000000000004">
      <c r="A134" t="str">
        <f t="shared" si="4"/>
        <v>03</v>
      </c>
      <c r="B134" t="str">
        <f>"03.0301"</f>
        <v>03.0301</v>
      </c>
      <c r="C134" t="s">
        <v>8</v>
      </c>
      <c r="D134" t="s">
        <v>12</v>
      </c>
      <c r="E134" t="s">
        <v>329</v>
      </c>
      <c r="F134" t="s">
        <v>331</v>
      </c>
      <c r="G134" t="s">
        <v>332</v>
      </c>
    </row>
    <row r="135" spans="1:8" x14ac:dyDescent="0.55000000000000004">
      <c r="A135" t="str">
        <f t="shared" si="4"/>
        <v>03</v>
      </c>
      <c r="B135" t="str">
        <f>"03.05"</f>
        <v>03.05</v>
      </c>
      <c r="C135" t="s">
        <v>8</v>
      </c>
      <c r="D135" t="s">
        <v>12</v>
      </c>
      <c r="E135" t="s">
        <v>333</v>
      </c>
      <c r="F135" t="s">
        <v>334</v>
      </c>
    </row>
    <row r="136" spans="1:8" x14ac:dyDescent="0.55000000000000004">
      <c r="A136" t="str">
        <f t="shared" si="4"/>
        <v>03</v>
      </c>
      <c r="B136" t="str">
        <f>"03.0501"</f>
        <v>03.0501</v>
      </c>
      <c r="C136" t="s">
        <v>8</v>
      </c>
      <c r="D136" t="s">
        <v>12</v>
      </c>
      <c r="E136" t="s">
        <v>335</v>
      </c>
      <c r="F136" t="s">
        <v>336</v>
      </c>
      <c r="G136" t="s">
        <v>337</v>
      </c>
    </row>
    <row r="137" spans="1:8" x14ac:dyDescent="0.55000000000000004">
      <c r="A137" t="str">
        <f t="shared" si="4"/>
        <v>03</v>
      </c>
      <c r="B137" t="str">
        <f>"03.0502"</f>
        <v>03.0502</v>
      </c>
      <c r="C137" t="s">
        <v>8</v>
      </c>
      <c r="D137" t="s">
        <v>12</v>
      </c>
      <c r="E137" t="s">
        <v>338</v>
      </c>
      <c r="F137" t="s">
        <v>339</v>
      </c>
    </row>
    <row r="138" spans="1:8" x14ac:dyDescent="0.55000000000000004">
      <c r="A138" t="str">
        <f t="shared" si="4"/>
        <v>03</v>
      </c>
      <c r="B138" t="str">
        <f>"03.0506"</f>
        <v>03.0506</v>
      </c>
      <c r="C138" t="s">
        <v>8</v>
      </c>
      <c r="D138" t="s">
        <v>12</v>
      </c>
      <c r="E138" t="s">
        <v>340</v>
      </c>
      <c r="F138" t="s">
        <v>341</v>
      </c>
      <c r="H138" t="s">
        <v>342</v>
      </c>
    </row>
    <row r="139" spans="1:8" x14ac:dyDescent="0.55000000000000004">
      <c r="A139" t="str">
        <f t="shared" si="4"/>
        <v>03</v>
      </c>
      <c r="B139" t="str">
        <f>"03.0508"</f>
        <v>03.0508</v>
      </c>
      <c r="C139" t="s">
        <v>8</v>
      </c>
      <c r="D139" t="s">
        <v>12</v>
      </c>
      <c r="E139" t="s">
        <v>343</v>
      </c>
      <c r="F139" t="s">
        <v>344</v>
      </c>
      <c r="H139" t="s">
        <v>345</v>
      </c>
    </row>
    <row r="140" spans="1:8" x14ac:dyDescent="0.55000000000000004">
      <c r="A140" t="str">
        <f t="shared" si="4"/>
        <v>03</v>
      </c>
      <c r="B140" t="str">
        <f>"03.0509"</f>
        <v>03.0509</v>
      </c>
      <c r="C140" t="s">
        <v>8</v>
      </c>
      <c r="D140" t="s">
        <v>9</v>
      </c>
      <c r="E140" t="s">
        <v>346</v>
      </c>
      <c r="F140" t="s">
        <v>347</v>
      </c>
      <c r="G140" t="s">
        <v>348</v>
      </c>
    </row>
    <row r="141" spans="1:8" x14ac:dyDescent="0.55000000000000004">
      <c r="A141" t="str">
        <f t="shared" si="4"/>
        <v>03</v>
      </c>
      <c r="B141" t="str">
        <f>"03.0510"</f>
        <v>03.0510</v>
      </c>
      <c r="C141" t="s">
        <v>8</v>
      </c>
      <c r="D141" t="s">
        <v>12</v>
      </c>
      <c r="E141" t="s">
        <v>349</v>
      </c>
      <c r="F141" t="s">
        <v>350</v>
      </c>
    </row>
    <row r="142" spans="1:8" x14ac:dyDescent="0.55000000000000004">
      <c r="A142" t="str">
        <f t="shared" si="4"/>
        <v>03</v>
      </c>
      <c r="B142" t="str">
        <f>"03.0511"</f>
        <v>03.0511</v>
      </c>
      <c r="C142" t="s">
        <v>8</v>
      </c>
      <c r="D142" t="s">
        <v>12</v>
      </c>
      <c r="E142" t="s">
        <v>351</v>
      </c>
      <c r="F142" t="s">
        <v>352</v>
      </c>
    </row>
    <row r="143" spans="1:8" x14ac:dyDescent="0.55000000000000004">
      <c r="A143" t="str">
        <f t="shared" si="4"/>
        <v>03</v>
      </c>
      <c r="B143" t="str">
        <f>"03.0599"</f>
        <v>03.0599</v>
      </c>
      <c r="C143" t="s">
        <v>8</v>
      </c>
      <c r="D143" t="s">
        <v>12</v>
      </c>
      <c r="E143" t="s">
        <v>353</v>
      </c>
      <c r="F143" t="s">
        <v>354</v>
      </c>
    </row>
    <row r="144" spans="1:8" x14ac:dyDescent="0.55000000000000004">
      <c r="A144" t="str">
        <f t="shared" si="4"/>
        <v>03</v>
      </c>
      <c r="B144" t="str">
        <f>"03.06"</f>
        <v>03.06</v>
      </c>
      <c r="C144" t="s">
        <v>8</v>
      </c>
      <c r="D144" t="s">
        <v>12</v>
      </c>
      <c r="E144" t="s">
        <v>355</v>
      </c>
      <c r="F144" t="s">
        <v>356</v>
      </c>
    </row>
    <row r="145" spans="1:8" x14ac:dyDescent="0.55000000000000004">
      <c r="A145" t="str">
        <f t="shared" si="4"/>
        <v>03</v>
      </c>
      <c r="B145" t="str">
        <f>"03.0601"</f>
        <v>03.0601</v>
      </c>
      <c r="C145" t="s">
        <v>8</v>
      </c>
      <c r="D145" t="s">
        <v>12</v>
      </c>
      <c r="E145" t="s">
        <v>357</v>
      </c>
      <c r="F145" t="s">
        <v>358</v>
      </c>
      <c r="G145" t="s">
        <v>359</v>
      </c>
    </row>
    <row r="146" spans="1:8" x14ac:dyDescent="0.55000000000000004">
      <c r="A146" t="str">
        <f t="shared" si="4"/>
        <v>03</v>
      </c>
      <c r="B146" t="str">
        <f>"03.99"</f>
        <v>03.99</v>
      </c>
      <c r="C146" t="s">
        <v>8</v>
      </c>
      <c r="D146" t="s">
        <v>12</v>
      </c>
      <c r="E146" t="s">
        <v>360</v>
      </c>
      <c r="F146" t="s">
        <v>361</v>
      </c>
    </row>
    <row r="147" spans="1:8" x14ac:dyDescent="0.55000000000000004">
      <c r="A147" t="str">
        <f t="shared" si="4"/>
        <v>03</v>
      </c>
      <c r="B147" t="str">
        <f>"03.9999"</f>
        <v>03.9999</v>
      </c>
      <c r="C147" t="s">
        <v>8</v>
      </c>
      <c r="D147" t="s">
        <v>12</v>
      </c>
      <c r="E147" t="s">
        <v>360</v>
      </c>
      <c r="F147" t="s">
        <v>362</v>
      </c>
      <c r="H147" t="s">
        <v>363</v>
      </c>
    </row>
    <row r="148" spans="1:8" x14ac:dyDescent="0.55000000000000004">
      <c r="A148" t="str">
        <f>"04"</f>
        <v>04</v>
      </c>
      <c r="B148" t="str">
        <f>"04"</f>
        <v>04</v>
      </c>
      <c r="C148" t="s">
        <v>8</v>
      </c>
      <c r="D148" t="s">
        <v>12</v>
      </c>
      <c r="E148" t="s">
        <v>364</v>
      </c>
      <c r="F148" t="s">
        <v>365</v>
      </c>
    </row>
    <row r="149" spans="1:8" x14ac:dyDescent="0.55000000000000004">
      <c r="A149" t="str">
        <f t="shared" ref="A149:A177" si="5">"04"</f>
        <v>04</v>
      </c>
      <c r="B149" t="str">
        <f>"04.02"</f>
        <v>04.02</v>
      </c>
      <c r="C149" t="s">
        <v>8</v>
      </c>
      <c r="D149" t="s">
        <v>12</v>
      </c>
      <c r="E149" t="s">
        <v>366</v>
      </c>
      <c r="F149" t="s">
        <v>367</v>
      </c>
    </row>
    <row r="150" spans="1:8" x14ac:dyDescent="0.55000000000000004">
      <c r="A150" t="str">
        <f t="shared" si="5"/>
        <v>04</v>
      </c>
      <c r="B150" t="str">
        <f>"04.0200"</f>
        <v>04.0200</v>
      </c>
      <c r="C150" t="s">
        <v>47</v>
      </c>
      <c r="D150" t="s">
        <v>12</v>
      </c>
      <c r="E150" t="s">
        <v>368</v>
      </c>
      <c r="F150" t="s">
        <v>369</v>
      </c>
      <c r="H150" t="s">
        <v>370</v>
      </c>
    </row>
    <row r="151" spans="1:8" x14ac:dyDescent="0.55000000000000004">
      <c r="A151" t="str">
        <f t="shared" si="5"/>
        <v>04</v>
      </c>
      <c r="B151" t="str">
        <f>"04.0201"</f>
        <v>04.0201</v>
      </c>
      <c r="C151" t="s">
        <v>8</v>
      </c>
      <c r="D151" t="s">
        <v>12</v>
      </c>
      <c r="E151" t="s">
        <v>366</v>
      </c>
      <c r="F151" t="s">
        <v>371</v>
      </c>
      <c r="G151" t="s">
        <v>372</v>
      </c>
      <c r="H151" t="s">
        <v>373</v>
      </c>
    </row>
    <row r="152" spans="1:8" x14ac:dyDescent="0.55000000000000004">
      <c r="A152" t="str">
        <f t="shared" si="5"/>
        <v>04</v>
      </c>
      <c r="B152" t="str">
        <f>"04.0202"</f>
        <v>04.0202</v>
      </c>
      <c r="C152" t="s">
        <v>47</v>
      </c>
      <c r="D152" t="s">
        <v>12</v>
      </c>
      <c r="E152" t="s">
        <v>374</v>
      </c>
      <c r="F152" t="s">
        <v>375</v>
      </c>
    </row>
    <row r="153" spans="1:8" x14ac:dyDescent="0.55000000000000004">
      <c r="A153" t="str">
        <f t="shared" si="5"/>
        <v>04</v>
      </c>
      <c r="B153" t="str">
        <f>"04.0299"</f>
        <v>04.0299</v>
      </c>
      <c r="C153" t="s">
        <v>47</v>
      </c>
      <c r="D153" t="s">
        <v>12</v>
      </c>
      <c r="E153" t="s">
        <v>376</v>
      </c>
      <c r="F153" t="s">
        <v>377</v>
      </c>
    </row>
    <row r="154" spans="1:8" x14ac:dyDescent="0.55000000000000004">
      <c r="A154" t="str">
        <f t="shared" si="5"/>
        <v>04</v>
      </c>
      <c r="B154" t="str">
        <f>"04.03"</f>
        <v>04.03</v>
      </c>
      <c r="C154" t="s">
        <v>8</v>
      </c>
      <c r="D154" t="s">
        <v>12</v>
      </c>
      <c r="E154" t="s">
        <v>378</v>
      </c>
      <c r="F154" t="s">
        <v>379</v>
      </c>
    </row>
    <row r="155" spans="1:8" x14ac:dyDescent="0.55000000000000004">
      <c r="A155" t="str">
        <f t="shared" si="5"/>
        <v>04</v>
      </c>
      <c r="B155" t="str">
        <f>"04.0301"</f>
        <v>04.0301</v>
      </c>
      <c r="C155" t="s">
        <v>8</v>
      </c>
      <c r="D155" t="s">
        <v>12</v>
      </c>
      <c r="E155" t="s">
        <v>378</v>
      </c>
      <c r="F155" t="s">
        <v>380</v>
      </c>
      <c r="G155" t="s">
        <v>381</v>
      </c>
      <c r="H155" t="s">
        <v>382</v>
      </c>
    </row>
    <row r="156" spans="1:8" x14ac:dyDescent="0.55000000000000004">
      <c r="A156" t="str">
        <f t="shared" si="5"/>
        <v>04</v>
      </c>
      <c r="B156" t="str">
        <f>"04.04"</f>
        <v>04.04</v>
      </c>
      <c r="C156" t="s">
        <v>8</v>
      </c>
      <c r="D156" t="s">
        <v>12</v>
      </c>
      <c r="E156" t="s">
        <v>383</v>
      </c>
      <c r="F156" t="s">
        <v>384</v>
      </c>
    </row>
    <row r="157" spans="1:8" x14ac:dyDescent="0.55000000000000004">
      <c r="A157" t="str">
        <f t="shared" si="5"/>
        <v>04</v>
      </c>
      <c r="B157" t="str">
        <f>"04.0401"</f>
        <v>04.0401</v>
      </c>
      <c r="C157" t="s">
        <v>8</v>
      </c>
      <c r="D157" t="s">
        <v>12</v>
      </c>
      <c r="E157" t="s">
        <v>385</v>
      </c>
      <c r="F157" t="s">
        <v>386</v>
      </c>
      <c r="G157" t="s">
        <v>387</v>
      </c>
    </row>
    <row r="158" spans="1:8" x14ac:dyDescent="0.55000000000000004">
      <c r="A158" t="str">
        <f t="shared" si="5"/>
        <v>04</v>
      </c>
      <c r="B158" t="str">
        <f>"04.0402"</f>
        <v>04.0402</v>
      </c>
      <c r="C158" t="s">
        <v>47</v>
      </c>
      <c r="D158" t="s">
        <v>12</v>
      </c>
      <c r="E158" t="s">
        <v>388</v>
      </c>
      <c r="F158" t="s">
        <v>389</v>
      </c>
      <c r="G158" t="s">
        <v>390</v>
      </c>
    </row>
    <row r="159" spans="1:8" x14ac:dyDescent="0.55000000000000004">
      <c r="A159" t="str">
        <f t="shared" si="5"/>
        <v>04</v>
      </c>
      <c r="B159" t="str">
        <f>"04.0403"</f>
        <v>04.0403</v>
      </c>
      <c r="C159" t="s">
        <v>47</v>
      </c>
      <c r="D159" t="s">
        <v>12</v>
      </c>
      <c r="E159" t="s">
        <v>391</v>
      </c>
      <c r="F159" t="s">
        <v>392</v>
      </c>
    </row>
    <row r="160" spans="1:8" x14ac:dyDescent="0.55000000000000004">
      <c r="A160" t="str">
        <f t="shared" si="5"/>
        <v>04</v>
      </c>
      <c r="B160" t="str">
        <f>"04.0499"</f>
        <v>04.0499</v>
      </c>
      <c r="C160" t="s">
        <v>47</v>
      </c>
      <c r="D160" t="s">
        <v>12</v>
      </c>
      <c r="E160" t="s">
        <v>393</v>
      </c>
      <c r="F160" t="s">
        <v>394</v>
      </c>
    </row>
    <row r="161" spans="1:8" x14ac:dyDescent="0.55000000000000004">
      <c r="A161" t="str">
        <f t="shared" si="5"/>
        <v>04</v>
      </c>
      <c r="B161" t="str">
        <f>"04.05"</f>
        <v>04.05</v>
      </c>
      <c r="C161" t="s">
        <v>8</v>
      </c>
      <c r="D161" t="s">
        <v>12</v>
      </c>
      <c r="E161" t="s">
        <v>395</v>
      </c>
      <c r="F161" t="s">
        <v>396</v>
      </c>
    </row>
    <row r="162" spans="1:8" x14ac:dyDescent="0.55000000000000004">
      <c r="A162" t="str">
        <f t="shared" si="5"/>
        <v>04</v>
      </c>
      <c r="B162" t="str">
        <f>"04.0501"</f>
        <v>04.0501</v>
      </c>
      <c r="C162" t="s">
        <v>8</v>
      </c>
      <c r="D162" t="s">
        <v>12</v>
      </c>
      <c r="E162" t="s">
        <v>395</v>
      </c>
      <c r="F162" t="s">
        <v>397</v>
      </c>
      <c r="G162" t="s">
        <v>398</v>
      </c>
    </row>
    <row r="163" spans="1:8" x14ac:dyDescent="0.55000000000000004">
      <c r="A163" t="str">
        <f t="shared" si="5"/>
        <v>04</v>
      </c>
      <c r="B163" t="str">
        <f>"04.06"</f>
        <v>04.06</v>
      </c>
      <c r="C163" t="s">
        <v>8</v>
      </c>
      <c r="D163" t="s">
        <v>12</v>
      </c>
      <c r="E163" t="s">
        <v>399</v>
      </c>
      <c r="F163" t="s">
        <v>400</v>
      </c>
    </row>
    <row r="164" spans="1:8" x14ac:dyDescent="0.55000000000000004">
      <c r="A164" t="str">
        <f t="shared" si="5"/>
        <v>04</v>
      </c>
      <c r="B164" t="str">
        <f>"04.0601"</f>
        <v>04.0601</v>
      </c>
      <c r="C164" t="s">
        <v>8</v>
      </c>
      <c r="D164" t="s">
        <v>12</v>
      </c>
      <c r="E164" t="s">
        <v>399</v>
      </c>
      <c r="F164" t="s">
        <v>401</v>
      </c>
      <c r="G164" t="s">
        <v>402</v>
      </c>
      <c r="H164" t="s">
        <v>403</v>
      </c>
    </row>
    <row r="165" spans="1:8" x14ac:dyDescent="0.55000000000000004">
      <c r="A165" t="str">
        <f t="shared" si="5"/>
        <v>04</v>
      </c>
      <c r="B165" t="str">
        <f>"04.08"</f>
        <v>04.08</v>
      </c>
      <c r="C165" t="s">
        <v>8</v>
      </c>
      <c r="D165" t="s">
        <v>9</v>
      </c>
      <c r="E165" t="s">
        <v>404</v>
      </c>
      <c r="F165" t="s">
        <v>405</v>
      </c>
    </row>
    <row r="166" spans="1:8" x14ac:dyDescent="0.55000000000000004">
      <c r="A166" t="str">
        <f t="shared" si="5"/>
        <v>04</v>
      </c>
      <c r="B166" t="str">
        <f>"04.0801"</f>
        <v>04.0801</v>
      </c>
      <c r="C166" t="s">
        <v>8</v>
      </c>
      <c r="D166" t="s">
        <v>12</v>
      </c>
      <c r="E166" t="s">
        <v>406</v>
      </c>
      <c r="F166" t="s">
        <v>407</v>
      </c>
    </row>
    <row r="167" spans="1:8" x14ac:dyDescent="0.55000000000000004">
      <c r="A167" t="str">
        <f t="shared" si="5"/>
        <v>04</v>
      </c>
      <c r="B167" t="str">
        <f>"04.0802"</f>
        <v>04.0802</v>
      </c>
      <c r="C167" t="s">
        <v>47</v>
      </c>
      <c r="D167" t="s">
        <v>12</v>
      </c>
      <c r="E167" t="s">
        <v>408</v>
      </c>
      <c r="F167" t="s">
        <v>409</v>
      </c>
      <c r="G167" t="s">
        <v>410</v>
      </c>
    </row>
    <row r="168" spans="1:8" x14ac:dyDescent="0.55000000000000004">
      <c r="A168" t="str">
        <f t="shared" si="5"/>
        <v>04</v>
      </c>
      <c r="B168" t="str">
        <f>"04.0803"</f>
        <v>04.0803</v>
      </c>
      <c r="C168" t="s">
        <v>47</v>
      </c>
      <c r="D168" t="s">
        <v>12</v>
      </c>
      <c r="E168" t="s">
        <v>411</v>
      </c>
      <c r="F168" t="s">
        <v>412</v>
      </c>
    </row>
    <row r="169" spans="1:8" x14ac:dyDescent="0.55000000000000004">
      <c r="A169" t="str">
        <f t="shared" si="5"/>
        <v>04</v>
      </c>
      <c r="B169" t="str">
        <f>"04.0899"</f>
        <v>04.0899</v>
      </c>
      <c r="C169" t="s">
        <v>47</v>
      </c>
      <c r="D169" t="s">
        <v>12</v>
      </c>
      <c r="E169" t="s">
        <v>413</v>
      </c>
      <c r="F169" t="s">
        <v>414</v>
      </c>
    </row>
    <row r="170" spans="1:8" x14ac:dyDescent="0.55000000000000004">
      <c r="A170" t="str">
        <f t="shared" si="5"/>
        <v>04</v>
      </c>
      <c r="B170" t="str">
        <f>"04.09"</f>
        <v>04.09</v>
      </c>
      <c r="C170" t="s">
        <v>8</v>
      </c>
      <c r="D170" t="s">
        <v>12</v>
      </c>
      <c r="E170" t="s">
        <v>415</v>
      </c>
      <c r="F170" t="s">
        <v>416</v>
      </c>
    </row>
    <row r="171" spans="1:8" x14ac:dyDescent="0.55000000000000004">
      <c r="A171" t="str">
        <f t="shared" si="5"/>
        <v>04</v>
      </c>
      <c r="B171" t="str">
        <f>"04.0901"</f>
        <v>04.0901</v>
      </c>
      <c r="C171" t="s">
        <v>8</v>
      </c>
      <c r="D171" t="s">
        <v>12</v>
      </c>
      <c r="E171" t="s">
        <v>417</v>
      </c>
      <c r="F171" t="s">
        <v>418</v>
      </c>
      <c r="G171" t="s">
        <v>419</v>
      </c>
    </row>
    <row r="172" spans="1:8" x14ac:dyDescent="0.55000000000000004">
      <c r="A172" t="str">
        <f t="shared" si="5"/>
        <v>04</v>
      </c>
      <c r="B172" t="str">
        <f>"04.0902"</f>
        <v>04.0902</v>
      </c>
      <c r="C172" t="s">
        <v>8</v>
      </c>
      <c r="D172" t="s">
        <v>12</v>
      </c>
      <c r="E172" t="s">
        <v>420</v>
      </c>
      <c r="F172" t="s">
        <v>421</v>
      </c>
      <c r="H172" t="s">
        <v>422</v>
      </c>
    </row>
    <row r="173" spans="1:8" x14ac:dyDescent="0.55000000000000004">
      <c r="A173" t="str">
        <f t="shared" si="5"/>
        <v>04</v>
      </c>
      <c r="B173" t="str">
        <f>"04.0999"</f>
        <v>04.0999</v>
      </c>
      <c r="C173" t="s">
        <v>8</v>
      </c>
      <c r="D173" t="s">
        <v>12</v>
      </c>
      <c r="E173" t="s">
        <v>423</v>
      </c>
      <c r="F173" t="s">
        <v>424</v>
      </c>
    </row>
    <row r="174" spans="1:8" x14ac:dyDescent="0.55000000000000004">
      <c r="A174" t="str">
        <f t="shared" si="5"/>
        <v>04</v>
      </c>
      <c r="B174" t="str">
        <f>"04.10"</f>
        <v>04.10</v>
      </c>
      <c r="C174" t="s">
        <v>8</v>
      </c>
      <c r="D174" t="s">
        <v>12</v>
      </c>
      <c r="E174" t="s">
        <v>425</v>
      </c>
      <c r="F174" t="s">
        <v>426</v>
      </c>
    </row>
    <row r="175" spans="1:8" x14ac:dyDescent="0.55000000000000004">
      <c r="A175" t="str">
        <f t="shared" si="5"/>
        <v>04</v>
      </c>
      <c r="B175" t="str">
        <f>"04.1001"</f>
        <v>04.1001</v>
      </c>
      <c r="C175" t="s">
        <v>8</v>
      </c>
      <c r="D175" t="s">
        <v>12</v>
      </c>
      <c r="E175" t="s">
        <v>425</v>
      </c>
      <c r="F175" t="s">
        <v>427</v>
      </c>
      <c r="G175" t="s">
        <v>428</v>
      </c>
    </row>
    <row r="176" spans="1:8" x14ac:dyDescent="0.55000000000000004">
      <c r="A176" t="str">
        <f t="shared" si="5"/>
        <v>04</v>
      </c>
      <c r="B176" t="str">
        <f>"04.99"</f>
        <v>04.99</v>
      </c>
      <c r="C176" t="s">
        <v>8</v>
      </c>
      <c r="D176" t="s">
        <v>12</v>
      </c>
      <c r="E176" t="s">
        <v>429</v>
      </c>
      <c r="F176" t="s">
        <v>430</v>
      </c>
    </row>
    <row r="177" spans="1:8" x14ac:dyDescent="0.55000000000000004">
      <c r="A177" t="str">
        <f t="shared" si="5"/>
        <v>04</v>
      </c>
      <c r="B177" t="str">
        <f>"04.9999"</f>
        <v>04.9999</v>
      </c>
      <c r="C177" t="s">
        <v>8</v>
      </c>
      <c r="D177" t="s">
        <v>12</v>
      </c>
      <c r="E177" t="s">
        <v>429</v>
      </c>
      <c r="F177" t="s">
        <v>431</v>
      </c>
    </row>
    <row r="178" spans="1:8" x14ac:dyDescent="0.55000000000000004">
      <c r="A178" t="str">
        <f>"05"</f>
        <v>05</v>
      </c>
      <c r="B178" t="str">
        <f>"05"</f>
        <v>05</v>
      </c>
      <c r="C178" t="s">
        <v>8</v>
      </c>
      <c r="D178" t="s">
        <v>12</v>
      </c>
      <c r="E178" t="s">
        <v>432</v>
      </c>
      <c r="F178" t="s">
        <v>433</v>
      </c>
    </row>
    <row r="179" spans="1:8" x14ac:dyDescent="0.55000000000000004">
      <c r="A179" t="str">
        <f t="shared" ref="A179:A210" si="6">"05"</f>
        <v>05</v>
      </c>
      <c r="B179" t="str">
        <f>"05.01"</f>
        <v>05.01</v>
      </c>
      <c r="C179" t="s">
        <v>8</v>
      </c>
      <c r="D179" t="s">
        <v>12</v>
      </c>
      <c r="E179" t="s">
        <v>434</v>
      </c>
      <c r="F179" t="s">
        <v>435</v>
      </c>
    </row>
    <row r="180" spans="1:8" x14ac:dyDescent="0.55000000000000004">
      <c r="A180" t="str">
        <f t="shared" si="6"/>
        <v>05</v>
      </c>
      <c r="B180" t="str">
        <f>"05.0101"</f>
        <v>05.0101</v>
      </c>
      <c r="C180" t="s">
        <v>8</v>
      </c>
      <c r="D180" t="s">
        <v>12</v>
      </c>
      <c r="E180" t="s">
        <v>436</v>
      </c>
      <c r="F180" t="s">
        <v>437</v>
      </c>
      <c r="G180" t="s">
        <v>438</v>
      </c>
    </row>
    <row r="181" spans="1:8" x14ac:dyDescent="0.55000000000000004">
      <c r="A181" t="str">
        <f t="shared" si="6"/>
        <v>05</v>
      </c>
      <c r="B181" t="str">
        <f>"05.0102"</f>
        <v>05.0102</v>
      </c>
      <c r="C181" t="s">
        <v>8</v>
      </c>
      <c r="D181" t="s">
        <v>12</v>
      </c>
      <c r="E181" t="s">
        <v>439</v>
      </c>
      <c r="F181" t="s">
        <v>440</v>
      </c>
    </row>
    <row r="182" spans="1:8" x14ac:dyDescent="0.55000000000000004">
      <c r="A182" t="str">
        <f t="shared" si="6"/>
        <v>05</v>
      </c>
      <c r="B182" t="str">
        <f>"05.0103"</f>
        <v>05.0103</v>
      </c>
      <c r="C182" t="s">
        <v>8</v>
      </c>
      <c r="D182" t="s">
        <v>12</v>
      </c>
      <c r="E182" t="s">
        <v>441</v>
      </c>
      <c r="F182" t="s">
        <v>442</v>
      </c>
      <c r="G182" t="s">
        <v>443</v>
      </c>
    </row>
    <row r="183" spans="1:8" x14ac:dyDescent="0.55000000000000004">
      <c r="A183" t="str">
        <f t="shared" si="6"/>
        <v>05</v>
      </c>
      <c r="B183" t="str">
        <f>"05.0104"</f>
        <v>05.0104</v>
      </c>
      <c r="C183" t="s">
        <v>8</v>
      </c>
      <c r="D183" t="s">
        <v>12</v>
      </c>
      <c r="E183" t="s">
        <v>444</v>
      </c>
      <c r="F183" t="s">
        <v>445</v>
      </c>
    </row>
    <row r="184" spans="1:8" x14ac:dyDescent="0.55000000000000004">
      <c r="A184" t="str">
        <f t="shared" si="6"/>
        <v>05</v>
      </c>
      <c r="B184" t="str">
        <f>"05.0105"</f>
        <v>05.0105</v>
      </c>
      <c r="C184" t="s">
        <v>8</v>
      </c>
      <c r="D184" t="s">
        <v>12</v>
      </c>
      <c r="E184" t="s">
        <v>446</v>
      </c>
      <c r="F184" t="s">
        <v>447</v>
      </c>
      <c r="G184" t="s">
        <v>448</v>
      </c>
      <c r="H184" t="s">
        <v>449</v>
      </c>
    </row>
    <row r="185" spans="1:8" x14ac:dyDescent="0.55000000000000004">
      <c r="A185" t="str">
        <f t="shared" si="6"/>
        <v>05</v>
      </c>
      <c r="B185" t="str">
        <f>"05.0106"</f>
        <v>05.0106</v>
      </c>
      <c r="C185" t="s">
        <v>8</v>
      </c>
      <c r="D185" t="s">
        <v>12</v>
      </c>
      <c r="E185" t="s">
        <v>450</v>
      </c>
      <c r="F185" t="s">
        <v>451</v>
      </c>
    </row>
    <row r="186" spans="1:8" x14ac:dyDescent="0.55000000000000004">
      <c r="A186" t="str">
        <f t="shared" si="6"/>
        <v>05</v>
      </c>
      <c r="B186" t="str">
        <f>"05.0107"</f>
        <v>05.0107</v>
      </c>
      <c r="C186" t="s">
        <v>8</v>
      </c>
      <c r="D186" t="s">
        <v>12</v>
      </c>
      <c r="E186" t="s">
        <v>452</v>
      </c>
      <c r="F186" t="s">
        <v>453</v>
      </c>
      <c r="G186" t="s">
        <v>454</v>
      </c>
    </row>
    <row r="187" spans="1:8" x14ac:dyDescent="0.55000000000000004">
      <c r="A187" t="str">
        <f t="shared" si="6"/>
        <v>05</v>
      </c>
      <c r="B187" t="str">
        <f>"05.0108"</f>
        <v>05.0108</v>
      </c>
      <c r="C187" t="s">
        <v>8</v>
      </c>
      <c r="D187" t="s">
        <v>12</v>
      </c>
      <c r="E187" t="s">
        <v>455</v>
      </c>
      <c r="F187" t="s">
        <v>456</v>
      </c>
      <c r="G187" t="s">
        <v>457</v>
      </c>
      <c r="H187" t="s">
        <v>458</v>
      </c>
    </row>
    <row r="188" spans="1:8" x14ac:dyDescent="0.55000000000000004">
      <c r="A188" t="str">
        <f t="shared" si="6"/>
        <v>05</v>
      </c>
      <c r="B188" t="str">
        <f>"05.0109"</f>
        <v>05.0109</v>
      </c>
      <c r="C188" t="s">
        <v>8</v>
      </c>
      <c r="D188" t="s">
        <v>12</v>
      </c>
      <c r="E188" t="s">
        <v>459</v>
      </c>
      <c r="F188" t="s">
        <v>460</v>
      </c>
    </row>
    <row r="189" spans="1:8" x14ac:dyDescent="0.55000000000000004">
      <c r="A189" t="str">
        <f t="shared" si="6"/>
        <v>05</v>
      </c>
      <c r="B189" t="str">
        <f>"05.0110"</f>
        <v>05.0110</v>
      </c>
      <c r="C189" t="s">
        <v>8</v>
      </c>
      <c r="D189" t="s">
        <v>12</v>
      </c>
      <c r="E189" t="s">
        <v>461</v>
      </c>
      <c r="F189" t="s">
        <v>462</v>
      </c>
      <c r="G189" t="s">
        <v>463</v>
      </c>
    </row>
    <row r="190" spans="1:8" x14ac:dyDescent="0.55000000000000004">
      <c r="A190" t="str">
        <f t="shared" si="6"/>
        <v>05</v>
      </c>
      <c r="B190" t="str">
        <f>"05.0111"</f>
        <v>05.0111</v>
      </c>
      <c r="C190" t="s">
        <v>8</v>
      </c>
      <c r="D190" t="s">
        <v>9</v>
      </c>
      <c r="E190" t="s">
        <v>464</v>
      </c>
      <c r="F190" t="s">
        <v>465</v>
      </c>
    </row>
    <row r="191" spans="1:8" x14ac:dyDescent="0.55000000000000004">
      <c r="A191" t="str">
        <f t="shared" si="6"/>
        <v>05</v>
      </c>
      <c r="B191" t="str">
        <f>"05.0112"</f>
        <v>05.0112</v>
      </c>
      <c r="C191" t="s">
        <v>8</v>
      </c>
      <c r="D191" t="s">
        <v>12</v>
      </c>
      <c r="E191" t="s">
        <v>466</v>
      </c>
      <c r="F191" t="s">
        <v>467</v>
      </c>
      <c r="H191" t="s">
        <v>468</v>
      </c>
    </row>
    <row r="192" spans="1:8" x14ac:dyDescent="0.55000000000000004">
      <c r="A192" t="str">
        <f t="shared" si="6"/>
        <v>05</v>
      </c>
      <c r="B192" t="str">
        <f>"05.0113"</f>
        <v>05.0113</v>
      </c>
      <c r="C192" t="s">
        <v>8</v>
      </c>
      <c r="D192" t="s">
        <v>12</v>
      </c>
      <c r="E192" t="s">
        <v>469</v>
      </c>
      <c r="F192" t="s">
        <v>470</v>
      </c>
    </row>
    <row r="193" spans="1:6" x14ac:dyDescent="0.55000000000000004">
      <c r="A193" t="str">
        <f t="shared" si="6"/>
        <v>05</v>
      </c>
      <c r="B193" t="str">
        <f>"05.0114"</f>
        <v>05.0114</v>
      </c>
      <c r="C193" t="s">
        <v>8</v>
      </c>
      <c r="D193" t="s">
        <v>12</v>
      </c>
      <c r="E193" t="s">
        <v>471</v>
      </c>
      <c r="F193" t="s">
        <v>472</v>
      </c>
    </row>
    <row r="194" spans="1:6" x14ac:dyDescent="0.55000000000000004">
      <c r="A194" t="str">
        <f t="shared" si="6"/>
        <v>05</v>
      </c>
      <c r="B194" t="str">
        <f>"05.0115"</f>
        <v>05.0115</v>
      </c>
      <c r="C194" t="s">
        <v>8</v>
      </c>
      <c r="D194" t="s">
        <v>12</v>
      </c>
      <c r="E194" t="s">
        <v>473</v>
      </c>
      <c r="F194" t="s">
        <v>474</v>
      </c>
    </row>
    <row r="195" spans="1:6" x14ac:dyDescent="0.55000000000000004">
      <c r="A195" t="str">
        <f t="shared" si="6"/>
        <v>05</v>
      </c>
      <c r="B195" t="str">
        <f>"05.0116"</f>
        <v>05.0116</v>
      </c>
      <c r="C195" t="s">
        <v>8</v>
      </c>
      <c r="D195" t="s">
        <v>12</v>
      </c>
      <c r="E195" t="s">
        <v>475</v>
      </c>
      <c r="F195" t="s">
        <v>476</v>
      </c>
    </row>
    <row r="196" spans="1:6" x14ac:dyDescent="0.55000000000000004">
      <c r="A196" t="str">
        <f t="shared" si="6"/>
        <v>05</v>
      </c>
      <c r="B196" t="str">
        <f>"05.0117"</f>
        <v>05.0117</v>
      </c>
      <c r="C196" t="s">
        <v>8</v>
      </c>
      <c r="D196" t="s">
        <v>12</v>
      </c>
      <c r="E196" t="s">
        <v>477</v>
      </c>
      <c r="F196" t="s">
        <v>478</v>
      </c>
    </row>
    <row r="197" spans="1:6" x14ac:dyDescent="0.55000000000000004">
      <c r="A197" t="str">
        <f t="shared" si="6"/>
        <v>05</v>
      </c>
      <c r="B197" t="str">
        <f>"05.0118"</f>
        <v>05.0118</v>
      </c>
      <c r="C197" t="s">
        <v>8</v>
      </c>
      <c r="D197" t="s">
        <v>12</v>
      </c>
      <c r="E197" t="s">
        <v>479</v>
      </c>
      <c r="F197" t="s">
        <v>480</v>
      </c>
    </row>
    <row r="198" spans="1:6" x14ac:dyDescent="0.55000000000000004">
      <c r="A198" t="str">
        <f t="shared" si="6"/>
        <v>05</v>
      </c>
      <c r="B198" t="str">
        <f>"05.0119"</f>
        <v>05.0119</v>
      </c>
      <c r="C198" t="s">
        <v>8</v>
      </c>
      <c r="D198" t="s">
        <v>12</v>
      </c>
      <c r="E198" t="s">
        <v>481</v>
      </c>
      <c r="F198" t="s">
        <v>482</v>
      </c>
    </row>
    <row r="199" spans="1:6" x14ac:dyDescent="0.55000000000000004">
      <c r="A199" t="str">
        <f t="shared" si="6"/>
        <v>05</v>
      </c>
      <c r="B199" t="str">
        <f>"05.0120"</f>
        <v>05.0120</v>
      </c>
      <c r="C199" t="s">
        <v>8</v>
      </c>
      <c r="D199" t="s">
        <v>12</v>
      </c>
      <c r="E199" t="s">
        <v>483</v>
      </c>
      <c r="F199" t="s">
        <v>484</v>
      </c>
    </row>
    <row r="200" spans="1:6" x14ac:dyDescent="0.55000000000000004">
      <c r="A200" t="str">
        <f t="shared" si="6"/>
        <v>05</v>
      </c>
      <c r="B200" t="str">
        <f>"05.0121"</f>
        <v>05.0121</v>
      </c>
      <c r="C200" t="s">
        <v>8</v>
      </c>
      <c r="D200" t="s">
        <v>12</v>
      </c>
      <c r="E200" t="s">
        <v>485</v>
      </c>
      <c r="F200" t="s">
        <v>486</v>
      </c>
    </row>
    <row r="201" spans="1:6" x14ac:dyDescent="0.55000000000000004">
      <c r="A201" t="str">
        <f t="shared" si="6"/>
        <v>05</v>
      </c>
      <c r="B201" t="str">
        <f>"05.0122"</f>
        <v>05.0122</v>
      </c>
      <c r="C201" t="s">
        <v>8</v>
      </c>
      <c r="D201" t="s">
        <v>9</v>
      </c>
      <c r="E201" t="s">
        <v>487</v>
      </c>
      <c r="F201" t="s">
        <v>488</v>
      </c>
    </row>
    <row r="202" spans="1:6" x14ac:dyDescent="0.55000000000000004">
      <c r="A202" t="str">
        <f t="shared" si="6"/>
        <v>05</v>
      </c>
      <c r="B202" t="str">
        <f>"05.0123"</f>
        <v>05.0123</v>
      </c>
      <c r="C202" t="s">
        <v>8</v>
      </c>
      <c r="D202" t="s">
        <v>12</v>
      </c>
      <c r="E202" t="s">
        <v>489</v>
      </c>
      <c r="F202" t="s">
        <v>490</v>
      </c>
    </row>
    <row r="203" spans="1:6" x14ac:dyDescent="0.55000000000000004">
      <c r="A203" t="str">
        <f t="shared" si="6"/>
        <v>05</v>
      </c>
      <c r="B203" t="str">
        <f>"05.0124"</f>
        <v>05.0124</v>
      </c>
      <c r="C203" t="s">
        <v>8</v>
      </c>
      <c r="D203" t="s">
        <v>12</v>
      </c>
      <c r="E203" t="s">
        <v>491</v>
      </c>
      <c r="F203" t="s">
        <v>492</v>
      </c>
    </row>
    <row r="204" spans="1:6" x14ac:dyDescent="0.55000000000000004">
      <c r="A204" t="str">
        <f t="shared" si="6"/>
        <v>05</v>
      </c>
      <c r="B204" t="str">
        <f>"05.0125"</f>
        <v>05.0125</v>
      </c>
      <c r="C204" t="s">
        <v>8</v>
      </c>
      <c r="D204" t="s">
        <v>12</v>
      </c>
      <c r="E204" t="s">
        <v>493</v>
      </c>
      <c r="F204" t="s">
        <v>494</v>
      </c>
    </row>
    <row r="205" spans="1:6" x14ac:dyDescent="0.55000000000000004">
      <c r="A205" t="str">
        <f t="shared" si="6"/>
        <v>05</v>
      </c>
      <c r="B205" t="str">
        <f>"05.0126"</f>
        <v>05.0126</v>
      </c>
      <c r="C205" t="s">
        <v>8</v>
      </c>
      <c r="D205" t="s">
        <v>12</v>
      </c>
      <c r="E205" t="s">
        <v>495</v>
      </c>
      <c r="F205" t="s">
        <v>496</v>
      </c>
    </row>
    <row r="206" spans="1:6" x14ac:dyDescent="0.55000000000000004">
      <c r="A206" t="str">
        <f t="shared" si="6"/>
        <v>05</v>
      </c>
      <c r="B206" t="str">
        <f>"05.0127"</f>
        <v>05.0127</v>
      </c>
      <c r="C206" t="s">
        <v>8</v>
      </c>
      <c r="D206" t="s">
        <v>12</v>
      </c>
      <c r="E206" t="s">
        <v>497</v>
      </c>
      <c r="F206" t="s">
        <v>498</v>
      </c>
    </row>
    <row r="207" spans="1:6" x14ac:dyDescent="0.55000000000000004">
      <c r="A207" t="str">
        <f t="shared" si="6"/>
        <v>05</v>
      </c>
      <c r="B207" t="str">
        <f>"05.0128"</f>
        <v>05.0128</v>
      </c>
      <c r="C207" t="s">
        <v>8</v>
      </c>
      <c r="D207" t="s">
        <v>12</v>
      </c>
      <c r="E207" t="s">
        <v>499</v>
      </c>
      <c r="F207" t="s">
        <v>500</v>
      </c>
    </row>
    <row r="208" spans="1:6" x14ac:dyDescent="0.55000000000000004">
      <c r="A208" t="str">
        <f t="shared" si="6"/>
        <v>05</v>
      </c>
      <c r="B208" t="str">
        <f>"05.0129"</f>
        <v>05.0129</v>
      </c>
      <c r="C208" t="s">
        <v>8</v>
      </c>
      <c r="D208" t="s">
        <v>12</v>
      </c>
      <c r="E208" t="s">
        <v>501</v>
      </c>
      <c r="F208" t="s">
        <v>502</v>
      </c>
    </row>
    <row r="209" spans="1:8" x14ac:dyDescent="0.55000000000000004">
      <c r="A209" t="str">
        <f t="shared" si="6"/>
        <v>05</v>
      </c>
      <c r="B209" t="str">
        <f>"05.0130"</f>
        <v>05.0130</v>
      </c>
      <c r="C209" t="s">
        <v>8</v>
      </c>
      <c r="D209" t="s">
        <v>12</v>
      </c>
      <c r="E209" t="s">
        <v>503</v>
      </c>
      <c r="F209" t="s">
        <v>504</v>
      </c>
    </row>
    <row r="210" spans="1:8" x14ac:dyDescent="0.55000000000000004">
      <c r="A210" t="str">
        <f t="shared" si="6"/>
        <v>05</v>
      </c>
      <c r="B210" t="str">
        <f>"05.0131"</f>
        <v>05.0131</v>
      </c>
      <c r="C210" t="s">
        <v>8</v>
      </c>
      <c r="D210" t="s">
        <v>12</v>
      </c>
      <c r="E210" t="s">
        <v>505</v>
      </c>
      <c r="F210" t="s">
        <v>506</v>
      </c>
    </row>
    <row r="211" spans="1:8" x14ac:dyDescent="0.55000000000000004">
      <c r="A211" t="str">
        <f t="shared" ref="A211:A231" si="7">"05"</f>
        <v>05</v>
      </c>
      <c r="B211" t="str">
        <f>"05.0132"</f>
        <v>05.0132</v>
      </c>
      <c r="C211" t="s">
        <v>8</v>
      </c>
      <c r="D211" t="s">
        <v>12</v>
      </c>
      <c r="E211" t="s">
        <v>507</v>
      </c>
      <c r="F211" t="s">
        <v>508</v>
      </c>
    </row>
    <row r="212" spans="1:8" x14ac:dyDescent="0.55000000000000004">
      <c r="A212" t="str">
        <f t="shared" si="7"/>
        <v>05</v>
      </c>
      <c r="B212" t="str">
        <f>"05.0133"</f>
        <v>05.0133</v>
      </c>
      <c r="C212" t="s">
        <v>8</v>
      </c>
      <c r="D212" t="s">
        <v>12</v>
      </c>
      <c r="E212" t="s">
        <v>509</v>
      </c>
      <c r="F212" t="s">
        <v>510</v>
      </c>
    </row>
    <row r="213" spans="1:8" x14ac:dyDescent="0.55000000000000004">
      <c r="A213" t="str">
        <f t="shared" si="7"/>
        <v>05</v>
      </c>
      <c r="B213" t="str">
        <f>"05.0134"</f>
        <v>05.0134</v>
      </c>
      <c r="C213" t="s">
        <v>8</v>
      </c>
      <c r="D213" t="s">
        <v>12</v>
      </c>
      <c r="E213" t="s">
        <v>511</v>
      </c>
      <c r="F213" t="s">
        <v>512</v>
      </c>
      <c r="G213" t="s">
        <v>513</v>
      </c>
    </row>
    <row r="214" spans="1:8" x14ac:dyDescent="0.55000000000000004">
      <c r="A214" t="str">
        <f t="shared" si="7"/>
        <v>05</v>
      </c>
      <c r="B214" t="str">
        <f>"05.0135"</f>
        <v>05.0135</v>
      </c>
      <c r="C214" t="s">
        <v>47</v>
      </c>
      <c r="D214" t="s">
        <v>12</v>
      </c>
      <c r="E214" t="s">
        <v>514</v>
      </c>
      <c r="F214" t="s">
        <v>515</v>
      </c>
    </row>
    <row r="215" spans="1:8" x14ac:dyDescent="0.55000000000000004">
      <c r="A215" t="str">
        <f t="shared" si="7"/>
        <v>05</v>
      </c>
      <c r="B215" t="str">
        <f>"05.0136"</f>
        <v>05.0136</v>
      </c>
      <c r="C215" t="s">
        <v>47</v>
      </c>
      <c r="D215" t="s">
        <v>12</v>
      </c>
      <c r="E215" t="s">
        <v>516</v>
      </c>
      <c r="F215" t="s">
        <v>517</v>
      </c>
    </row>
    <row r="216" spans="1:8" x14ac:dyDescent="0.55000000000000004">
      <c r="A216" t="str">
        <f t="shared" si="7"/>
        <v>05</v>
      </c>
      <c r="B216" t="str">
        <f>"05.0199"</f>
        <v>05.0199</v>
      </c>
      <c r="C216" t="s">
        <v>8</v>
      </c>
      <c r="D216" t="s">
        <v>12</v>
      </c>
      <c r="E216" t="s">
        <v>518</v>
      </c>
      <c r="F216" t="s">
        <v>519</v>
      </c>
    </row>
    <row r="217" spans="1:8" x14ac:dyDescent="0.55000000000000004">
      <c r="A217" t="str">
        <f t="shared" si="7"/>
        <v>05</v>
      </c>
      <c r="B217" t="str">
        <f>"05.02"</f>
        <v>05.02</v>
      </c>
      <c r="C217" t="s">
        <v>8</v>
      </c>
      <c r="D217" t="s">
        <v>12</v>
      </c>
      <c r="E217" t="s">
        <v>520</v>
      </c>
      <c r="F217" t="s">
        <v>521</v>
      </c>
    </row>
    <row r="218" spans="1:8" x14ac:dyDescent="0.55000000000000004">
      <c r="A218" t="str">
        <f t="shared" si="7"/>
        <v>05</v>
      </c>
      <c r="B218" t="str">
        <f>"05.0200"</f>
        <v>05.0200</v>
      </c>
      <c r="C218" t="s">
        <v>8</v>
      </c>
      <c r="D218" t="s">
        <v>12</v>
      </c>
      <c r="E218" t="s">
        <v>522</v>
      </c>
      <c r="F218" t="s">
        <v>523</v>
      </c>
      <c r="G218" t="s">
        <v>524</v>
      </c>
    </row>
    <row r="219" spans="1:8" x14ac:dyDescent="0.55000000000000004">
      <c r="A219" t="str">
        <f t="shared" si="7"/>
        <v>05</v>
      </c>
      <c r="B219" t="str">
        <f>"05.0201"</f>
        <v>05.0201</v>
      </c>
      <c r="C219" t="s">
        <v>8</v>
      </c>
      <c r="D219" t="s">
        <v>12</v>
      </c>
      <c r="E219" t="s">
        <v>525</v>
      </c>
      <c r="F219" t="s">
        <v>526</v>
      </c>
      <c r="G219" t="s">
        <v>527</v>
      </c>
    </row>
    <row r="220" spans="1:8" x14ac:dyDescent="0.55000000000000004">
      <c r="A220" t="str">
        <f t="shared" si="7"/>
        <v>05</v>
      </c>
      <c r="B220" t="str">
        <f>"05.0202"</f>
        <v>05.0202</v>
      </c>
      <c r="C220" t="s">
        <v>8</v>
      </c>
      <c r="D220" t="s">
        <v>12</v>
      </c>
      <c r="E220" t="s">
        <v>528</v>
      </c>
      <c r="F220" t="s">
        <v>529</v>
      </c>
    </row>
    <row r="221" spans="1:8" x14ac:dyDescent="0.55000000000000004">
      <c r="A221" t="str">
        <f t="shared" si="7"/>
        <v>05</v>
      </c>
      <c r="B221" t="str">
        <f>"05.0203"</f>
        <v>05.0203</v>
      </c>
      <c r="C221" t="s">
        <v>8</v>
      </c>
      <c r="D221" t="s">
        <v>12</v>
      </c>
      <c r="E221" t="s">
        <v>530</v>
      </c>
      <c r="F221" t="s">
        <v>531</v>
      </c>
      <c r="G221" t="s">
        <v>532</v>
      </c>
    </row>
    <row r="222" spans="1:8" x14ac:dyDescent="0.55000000000000004">
      <c r="A222" t="str">
        <f t="shared" si="7"/>
        <v>05</v>
      </c>
      <c r="B222" t="str">
        <f>"05.0206"</f>
        <v>05.0206</v>
      </c>
      <c r="C222" t="s">
        <v>8</v>
      </c>
      <c r="D222" t="s">
        <v>12</v>
      </c>
      <c r="E222" t="s">
        <v>533</v>
      </c>
      <c r="F222" t="s">
        <v>534</v>
      </c>
      <c r="G222" t="s">
        <v>535</v>
      </c>
    </row>
    <row r="223" spans="1:8" x14ac:dyDescent="0.55000000000000004">
      <c r="A223" t="str">
        <f t="shared" si="7"/>
        <v>05</v>
      </c>
      <c r="B223" t="str">
        <f>"05.0207"</f>
        <v>05.0207</v>
      </c>
      <c r="C223" t="s">
        <v>8</v>
      </c>
      <c r="D223" t="s">
        <v>12</v>
      </c>
      <c r="E223" t="s">
        <v>536</v>
      </c>
      <c r="F223" t="s">
        <v>537</v>
      </c>
      <c r="H223" t="s">
        <v>538</v>
      </c>
    </row>
    <row r="224" spans="1:8" x14ac:dyDescent="0.55000000000000004">
      <c r="A224" t="str">
        <f t="shared" si="7"/>
        <v>05</v>
      </c>
      <c r="B224" t="str">
        <f>"05.0208"</f>
        <v>05.0208</v>
      </c>
      <c r="C224" t="s">
        <v>8</v>
      </c>
      <c r="D224" t="s">
        <v>12</v>
      </c>
      <c r="E224" t="s">
        <v>539</v>
      </c>
      <c r="F224" t="s">
        <v>540</v>
      </c>
    </row>
    <row r="225" spans="1:8" x14ac:dyDescent="0.55000000000000004">
      <c r="A225" t="str">
        <f t="shared" si="7"/>
        <v>05</v>
      </c>
      <c r="B225" t="str">
        <f>"05.0209"</f>
        <v>05.0209</v>
      </c>
      <c r="C225" t="s">
        <v>8</v>
      </c>
      <c r="D225" t="s">
        <v>12</v>
      </c>
      <c r="E225" t="s">
        <v>541</v>
      </c>
      <c r="F225" t="s">
        <v>542</v>
      </c>
      <c r="H225" t="s">
        <v>543</v>
      </c>
    </row>
    <row r="226" spans="1:8" x14ac:dyDescent="0.55000000000000004">
      <c r="A226" t="str">
        <f t="shared" si="7"/>
        <v>05</v>
      </c>
      <c r="B226" t="str">
        <f>"05.0210"</f>
        <v>05.0210</v>
      </c>
      <c r="C226" t="s">
        <v>8</v>
      </c>
      <c r="D226" t="s">
        <v>12</v>
      </c>
      <c r="E226" t="s">
        <v>544</v>
      </c>
      <c r="F226" t="s">
        <v>545</v>
      </c>
    </row>
    <row r="227" spans="1:8" x14ac:dyDescent="0.55000000000000004">
      <c r="A227" t="str">
        <f t="shared" si="7"/>
        <v>05</v>
      </c>
      <c r="B227" t="str">
        <f>"05.0211"</f>
        <v>05.0211</v>
      </c>
      <c r="C227" t="s">
        <v>8</v>
      </c>
      <c r="D227" t="s">
        <v>12</v>
      </c>
      <c r="E227" t="s">
        <v>546</v>
      </c>
      <c r="F227" t="s">
        <v>547</v>
      </c>
      <c r="G227" t="s">
        <v>548</v>
      </c>
      <c r="H227" t="s">
        <v>549</v>
      </c>
    </row>
    <row r="228" spans="1:8" x14ac:dyDescent="0.55000000000000004">
      <c r="A228" t="str">
        <f t="shared" si="7"/>
        <v>05</v>
      </c>
      <c r="B228" t="str">
        <f>"05.0212"</f>
        <v>05.0212</v>
      </c>
      <c r="C228" t="s">
        <v>47</v>
      </c>
      <c r="D228" t="s">
        <v>12</v>
      </c>
      <c r="E228" t="s">
        <v>550</v>
      </c>
      <c r="F228" t="s">
        <v>551</v>
      </c>
      <c r="G228" t="s">
        <v>552</v>
      </c>
    </row>
    <row r="229" spans="1:8" x14ac:dyDescent="0.55000000000000004">
      <c r="A229" t="str">
        <f t="shared" si="7"/>
        <v>05</v>
      </c>
      <c r="B229" t="str">
        <f>"05.0299"</f>
        <v>05.0299</v>
      </c>
      <c r="C229" t="s">
        <v>8</v>
      </c>
      <c r="D229" t="s">
        <v>12</v>
      </c>
      <c r="E229" t="s">
        <v>553</v>
      </c>
      <c r="F229" t="s">
        <v>554</v>
      </c>
      <c r="H229" t="s">
        <v>555</v>
      </c>
    </row>
    <row r="230" spans="1:8" x14ac:dyDescent="0.55000000000000004">
      <c r="A230" t="str">
        <f t="shared" si="7"/>
        <v>05</v>
      </c>
      <c r="B230" t="str">
        <f>"05.99"</f>
        <v>05.99</v>
      </c>
      <c r="C230" t="s">
        <v>47</v>
      </c>
      <c r="D230" t="s">
        <v>12</v>
      </c>
      <c r="E230" t="s">
        <v>556</v>
      </c>
      <c r="F230" t="s">
        <v>557</v>
      </c>
    </row>
    <row r="231" spans="1:8" x14ac:dyDescent="0.55000000000000004">
      <c r="A231" t="str">
        <f t="shared" si="7"/>
        <v>05</v>
      </c>
      <c r="B231" t="str">
        <f>"05.9999"</f>
        <v>05.9999</v>
      </c>
      <c r="C231" t="s">
        <v>47</v>
      </c>
      <c r="D231" t="s">
        <v>12</v>
      </c>
      <c r="E231" t="s">
        <v>556</v>
      </c>
      <c r="F231" t="s">
        <v>558</v>
      </c>
    </row>
    <row r="232" spans="1:8" x14ac:dyDescent="0.55000000000000004">
      <c r="A232" t="str">
        <f>"09"</f>
        <v>09</v>
      </c>
      <c r="B232" t="str">
        <f>"09"</f>
        <v>09</v>
      </c>
      <c r="C232" t="s">
        <v>8</v>
      </c>
      <c r="D232" t="s">
        <v>12</v>
      </c>
      <c r="E232" t="s">
        <v>559</v>
      </c>
      <c r="F232" t="s">
        <v>560</v>
      </c>
    </row>
    <row r="233" spans="1:8" x14ac:dyDescent="0.55000000000000004">
      <c r="A233" t="str">
        <f t="shared" ref="A233:A265" si="8">"09"</f>
        <v>09</v>
      </c>
      <c r="B233" t="str">
        <f>"09.01"</f>
        <v>09.01</v>
      </c>
      <c r="C233" t="s">
        <v>8</v>
      </c>
      <c r="D233" t="s">
        <v>12</v>
      </c>
      <c r="E233" t="s">
        <v>561</v>
      </c>
      <c r="F233" t="s">
        <v>562</v>
      </c>
    </row>
    <row r="234" spans="1:8" x14ac:dyDescent="0.55000000000000004">
      <c r="A234" t="str">
        <f t="shared" si="8"/>
        <v>09</v>
      </c>
      <c r="B234" t="str">
        <f>"09.0100"</f>
        <v>09.0100</v>
      </c>
      <c r="C234" t="s">
        <v>8</v>
      </c>
      <c r="D234" t="s">
        <v>12</v>
      </c>
      <c r="E234" t="s">
        <v>563</v>
      </c>
      <c r="F234" t="s">
        <v>564</v>
      </c>
      <c r="H234" t="s">
        <v>565</v>
      </c>
    </row>
    <row r="235" spans="1:8" x14ac:dyDescent="0.55000000000000004">
      <c r="A235" t="str">
        <f t="shared" si="8"/>
        <v>09</v>
      </c>
      <c r="B235" t="str">
        <f>"09.0101"</f>
        <v>09.0101</v>
      </c>
      <c r="C235" t="s">
        <v>8</v>
      </c>
      <c r="D235" t="s">
        <v>12</v>
      </c>
      <c r="E235" t="s">
        <v>566</v>
      </c>
      <c r="F235" t="s">
        <v>567</v>
      </c>
      <c r="G235" t="s">
        <v>568</v>
      </c>
    </row>
    <row r="236" spans="1:8" x14ac:dyDescent="0.55000000000000004">
      <c r="A236" t="str">
        <f t="shared" si="8"/>
        <v>09</v>
      </c>
      <c r="B236" t="str">
        <f>"09.0102"</f>
        <v>09.0102</v>
      </c>
      <c r="C236" t="s">
        <v>8</v>
      </c>
      <c r="D236" t="s">
        <v>12</v>
      </c>
      <c r="E236" t="s">
        <v>569</v>
      </c>
      <c r="F236" t="s">
        <v>570</v>
      </c>
      <c r="H236" t="s">
        <v>571</v>
      </c>
    </row>
    <row r="237" spans="1:8" x14ac:dyDescent="0.55000000000000004">
      <c r="A237" t="str">
        <f t="shared" si="8"/>
        <v>09</v>
      </c>
      <c r="B237" t="str">
        <f>"09.0199"</f>
        <v>09.0199</v>
      </c>
      <c r="C237" t="s">
        <v>8</v>
      </c>
      <c r="D237" t="s">
        <v>12</v>
      </c>
      <c r="E237" t="s">
        <v>572</v>
      </c>
      <c r="F237" t="s">
        <v>573</v>
      </c>
    </row>
    <row r="238" spans="1:8" x14ac:dyDescent="0.55000000000000004">
      <c r="A238" t="str">
        <f t="shared" si="8"/>
        <v>09</v>
      </c>
      <c r="B238" t="str">
        <f>"09.04"</f>
        <v>09.04</v>
      </c>
      <c r="C238" t="s">
        <v>8</v>
      </c>
      <c r="D238" t="s">
        <v>12</v>
      </c>
      <c r="E238" t="s">
        <v>574</v>
      </c>
      <c r="F238" t="s">
        <v>575</v>
      </c>
    </row>
    <row r="239" spans="1:8" x14ac:dyDescent="0.55000000000000004">
      <c r="A239" t="str">
        <f t="shared" si="8"/>
        <v>09</v>
      </c>
      <c r="B239" t="str">
        <f>"09.0401"</f>
        <v>09.0401</v>
      </c>
      <c r="C239" t="s">
        <v>8</v>
      </c>
      <c r="D239" t="s">
        <v>12</v>
      </c>
      <c r="E239" t="s">
        <v>574</v>
      </c>
      <c r="F239" t="s">
        <v>576</v>
      </c>
    </row>
    <row r="240" spans="1:8" x14ac:dyDescent="0.55000000000000004">
      <c r="A240" t="str">
        <f t="shared" si="8"/>
        <v>09</v>
      </c>
      <c r="B240" t="str">
        <f>"09.0402"</f>
        <v>09.0402</v>
      </c>
      <c r="C240" t="s">
        <v>8</v>
      </c>
      <c r="D240" t="s">
        <v>12</v>
      </c>
      <c r="E240" t="s">
        <v>577</v>
      </c>
      <c r="F240" t="s">
        <v>578</v>
      </c>
    </row>
    <row r="241" spans="1:8" x14ac:dyDescent="0.55000000000000004">
      <c r="A241" t="str">
        <f t="shared" si="8"/>
        <v>09</v>
      </c>
      <c r="B241" t="str">
        <f>"09.0404"</f>
        <v>09.0404</v>
      </c>
      <c r="C241" t="s">
        <v>8</v>
      </c>
      <c r="D241" t="s">
        <v>12</v>
      </c>
      <c r="E241" t="s">
        <v>579</v>
      </c>
      <c r="F241" t="s">
        <v>580</v>
      </c>
      <c r="G241" t="s">
        <v>581</v>
      </c>
    </row>
    <row r="242" spans="1:8" x14ac:dyDescent="0.55000000000000004">
      <c r="A242" t="str">
        <f t="shared" si="8"/>
        <v>09</v>
      </c>
      <c r="B242" t="str">
        <f>"09.0405"</f>
        <v>09.0405</v>
      </c>
      <c r="C242" t="s">
        <v>47</v>
      </c>
      <c r="D242" t="s">
        <v>12</v>
      </c>
      <c r="E242" t="s">
        <v>582</v>
      </c>
      <c r="F242" t="s">
        <v>583</v>
      </c>
    </row>
    <row r="243" spans="1:8" x14ac:dyDescent="0.55000000000000004">
      <c r="A243" t="str">
        <f t="shared" si="8"/>
        <v>09</v>
      </c>
      <c r="B243" t="str">
        <f>"09.0406"</f>
        <v>09.0406</v>
      </c>
      <c r="C243" t="s">
        <v>47</v>
      </c>
      <c r="D243" t="s">
        <v>12</v>
      </c>
      <c r="E243" t="s">
        <v>584</v>
      </c>
      <c r="F243" t="s">
        <v>585</v>
      </c>
    </row>
    <row r="244" spans="1:8" x14ac:dyDescent="0.55000000000000004">
      <c r="A244" t="str">
        <f t="shared" si="8"/>
        <v>09</v>
      </c>
      <c r="B244" t="str">
        <f>"09.0407"</f>
        <v>09.0407</v>
      </c>
      <c r="C244" t="s">
        <v>47</v>
      </c>
      <c r="D244" t="s">
        <v>12</v>
      </c>
      <c r="E244" t="s">
        <v>586</v>
      </c>
      <c r="F244" t="s">
        <v>587</v>
      </c>
      <c r="G244" t="s">
        <v>588</v>
      </c>
    </row>
    <row r="245" spans="1:8" x14ac:dyDescent="0.55000000000000004">
      <c r="A245" t="str">
        <f t="shared" si="8"/>
        <v>09</v>
      </c>
      <c r="B245" t="str">
        <f>"09.0499"</f>
        <v>09.0499</v>
      </c>
      <c r="C245" t="s">
        <v>8</v>
      </c>
      <c r="D245" t="s">
        <v>12</v>
      </c>
      <c r="E245" t="s">
        <v>589</v>
      </c>
      <c r="F245" t="s">
        <v>590</v>
      </c>
      <c r="H245" t="s">
        <v>591</v>
      </c>
    </row>
    <row r="246" spans="1:8" x14ac:dyDescent="0.55000000000000004">
      <c r="A246" t="str">
        <f t="shared" si="8"/>
        <v>09</v>
      </c>
      <c r="B246" t="str">
        <f>"09.07"</f>
        <v>09.07</v>
      </c>
      <c r="C246" t="s">
        <v>8</v>
      </c>
      <c r="D246" t="s">
        <v>12</v>
      </c>
      <c r="E246" t="s">
        <v>592</v>
      </c>
      <c r="F246" t="s">
        <v>593</v>
      </c>
    </row>
    <row r="247" spans="1:8" x14ac:dyDescent="0.55000000000000004">
      <c r="A247" t="str">
        <f t="shared" si="8"/>
        <v>09</v>
      </c>
      <c r="B247" t="str">
        <f>"09.0701"</f>
        <v>09.0701</v>
      </c>
      <c r="C247" t="s">
        <v>8</v>
      </c>
      <c r="D247" t="s">
        <v>12</v>
      </c>
      <c r="E247" t="s">
        <v>594</v>
      </c>
      <c r="F247" t="s">
        <v>595</v>
      </c>
      <c r="H247" t="s">
        <v>596</v>
      </c>
    </row>
    <row r="248" spans="1:8" x14ac:dyDescent="0.55000000000000004">
      <c r="A248" t="str">
        <f t="shared" si="8"/>
        <v>09</v>
      </c>
      <c r="B248" t="str">
        <f>"09.0702"</f>
        <v>09.0702</v>
      </c>
      <c r="C248" t="s">
        <v>8</v>
      </c>
      <c r="D248" t="s">
        <v>12</v>
      </c>
      <c r="E248" t="s">
        <v>597</v>
      </c>
      <c r="F248" t="s">
        <v>598</v>
      </c>
      <c r="G248" t="s">
        <v>599</v>
      </c>
      <c r="H248" t="s">
        <v>600</v>
      </c>
    </row>
    <row r="249" spans="1:8" x14ac:dyDescent="0.55000000000000004">
      <c r="A249" t="str">
        <f t="shared" si="8"/>
        <v>09</v>
      </c>
      <c r="B249" t="str">
        <f>"09.0799"</f>
        <v>09.0799</v>
      </c>
      <c r="C249" t="s">
        <v>8</v>
      </c>
      <c r="D249" t="s">
        <v>12</v>
      </c>
      <c r="E249" t="s">
        <v>601</v>
      </c>
      <c r="F249" t="s">
        <v>602</v>
      </c>
    </row>
    <row r="250" spans="1:8" x14ac:dyDescent="0.55000000000000004">
      <c r="A250" t="str">
        <f t="shared" si="8"/>
        <v>09</v>
      </c>
      <c r="B250" t="str">
        <f>"09.09"</f>
        <v>09.09</v>
      </c>
      <c r="C250" t="s">
        <v>8</v>
      </c>
      <c r="D250" t="s">
        <v>12</v>
      </c>
      <c r="E250" t="s">
        <v>603</v>
      </c>
      <c r="F250" t="s">
        <v>604</v>
      </c>
    </row>
    <row r="251" spans="1:8" x14ac:dyDescent="0.55000000000000004">
      <c r="A251" t="str">
        <f t="shared" si="8"/>
        <v>09</v>
      </c>
      <c r="B251" t="str">
        <f>"09.0900"</f>
        <v>09.0900</v>
      </c>
      <c r="C251" t="s">
        <v>8</v>
      </c>
      <c r="D251" t="s">
        <v>12</v>
      </c>
      <c r="E251" t="s">
        <v>603</v>
      </c>
      <c r="F251" t="s">
        <v>605</v>
      </c>
      <c r="G251" t="s">
        <v>606</v>
      </c>
      <c r="H251" t="s">
        <v>607</v>
      </c>
    </row>
    <row r="252" spans="1:8" x14ac:dyDescent="0.55000000000000004">
      <c r="A252" t="str">
        <f t="shared" si="8"/>
        <v>09</v>
      </c>
      <c r="B252" t="str">
        <f>"09.0901"</f>
        <v>09.0901</v>
      </c>
      <c r="C252" t="s">
        <v>8</v>
      </c>
      <c r="D252" t="s">
        <v>12</v>
      </c>
      <c r="E252" t="s">
        <v>608</v>
      </c>
      <c r="F252" t="s">
        <v>609</v>
      </c>
      <c r="G252" t="s">
        <v>610</v>
      </c>
    </row>
    <row r="253" spans="1:8" x14ac:dyDescent="0.55000000000000004">
      <c r="A253" t="str">
        <f t="shared" si="8"/>
        <v>09</v>
      </c>
      <c r="B253" t="str">
        <f>"09.0902"</f>
        <v>09.0902</v>
      </c>
      <c r="C253" t="s">
        <v>8</v>
      </c>
      <c r="D253" t="s">
        <v>12</v>
      </c>
      <c r="E253" t="s">
        <v>611</v>
      </c>
      <c r="F253" t="s">
        <v>612</v>
      </c>
      <c r="G253" t="s">
        <v>613</v>
      </c>
      <c r="H253" t="s">
        <v>614</v>
      </c>
    </row>
    <row r="254" spans="1:8" x14ac:dyDescent="0.55000000000000004">
      <c r="A254" t="str">
        <f t="shared" si="8"/>
        <v>09</v>
      </c>
      <c r="B254" t="str">
        <f>"09.0903"</f>
        <v>09.0903</v>
      </c>
      <c r="C254" t="s">
        <v>8</v>
      </c>
      <c r="D254" t="s">
        <v>12</v>
      </c>
      <c r="E254" t="s">
        <v>615</v>
      </c>
      <c r="F254" t="s">
        <v>616</v>
      </c>
      <c r="G254" t="s">
        <v>617</v>
      </c>
    </row>
    <row r="255" spans="1:8" x14ac:dyDescent="0.55000000000000004">
      <c r="A255" t="str">
        <f t="shared" si="8"/>
        <v>09</v>
      </c>
      <c r="B255" t="str">
        <f>"09.0904"</f>
        <v>09.0904</v>
      </c>
      <c r="C255" t="s">
        <v>8</v>
      </c>
      <c r="D255" t="s">
        <v>12</v>
      </c>
      <c r="E255" t="s">
        <v>618</v>
      </c>
      <c r="F255" t="s">
        <v>619</v>
      </c>
    </row>
    <row r="256" spans="1:8" x14ac:dyDescent="0.55000000000000004">
      <c r="A256" t="str">
        <f t="shared" si="8"/>
        <v>09</v>
      </c>
      <c r="B256" t="str">
        <f>"09.0905"</f>
        <v>09.0905</v>
      </c>
      <c r="C256" t="s">
        <v>8</v>
      </c>
      <c r="D256" t="s">
        <v>12</v>
      </c>
      <c r="E256" t="s">
        <v>620</v>
      </c>
      <c r="F256" t="s">
        <v>621</v>
      </c>
      <c r="H256" t="s">
        <v>622</v>
      </c>
    </row>
    <row r="257" spans="1:8" x14ac:dyDescent="0.55000000000000004">
      <c r="A257" t="str">
        <f t="shared" si="8"/>
        <v>09</v>
      </c>
      <c r="B257" t="str">
        <f>"09.0906"</f>
        <v>09.0906</v>
      </c>
      <c r="C257" t="s">
        <v>8</v>
      </c>
      <c r="D257" t="s">
        <v>12</v>
      </c>
      <c r="E257" t="s">
        <v>623</v>
      </c>
      <c r="F257" t="s">
        <v>624</v>
      </c>
      <c r="G257" t="s">
        <v>625</v>
      </c>
    </row>
    <row r="258" spans="1:8" x14ac:dyDescent="0.55000000000000004">
      <c r="A258" t="str">
        <f t="shared" si="8"/>
        <v>09</v>
      </c>
      <c r="B258" t="str">
        <f>"09.0907"</f>
        <v>09.0907</v>
      </c>
      <c r="C258" t="s">
        <v>8</v>
      </c>
      <c r="D258" t="s">
        <v>12</v>
      </c>
      <c r="E258" t="s">
        <v>626</v>
      </c>
      <c r="F258" t="s">
        <v>627</v>
      </c>
      <c r="G258" t="s">
        <v>628</v>
      </c>
    </row>
    <row r="259" spans="1:8" x14ac:dyDescent="0.55000000000000004">
      <c r="A259" t="str">
        <f t="shared" si="8"/>
        <v>09</v>
      </c>
      <c r="B259" t="str">
        <f>"09.0908"</f>
        <v>09.0908</v>
      </c>
      <c r="C259" t="s">
        <v>8</v>
      </c>
      <c r="D259" t="s">
        <v>12</v>
      </c>
      <c r="E259" t="s">
        <v>629</v>
      </c>
      <c r="F259" t="s">
        <v>630</v>
      </c>
      <c r="G259" t="s">
        <v>631</v>
      </c>
      <c r="H259" t="s">
        <v>632</v>
      </c>
    </row>
    <row r="260" spans="1:8" x14ac:dyDescent="0.55000000000000004">
      <c r="A260" t="str">
        <f t="shared" si="8"/>
        <v>09</v>
      </c>
      <c r="B260" t="str">
        <f>"09.0909"</f>
        <v>09.0909</v>
      </c>
      <c r="C260" t="s">
        <v>47</v>
      </c>
      <c r="D260" t="s">
        <v>12</v>
      </c>
      <c r="E260" t="s">
        <v>633</v>
      </c>
      <c r="F260" t="s">
        <v>634</v>
      </c>
    </row>
    <row r="261" spans="1:8" x14ac:dyDescent="0.55000000000000004">
      <c r="A261" t="str">
        <f t="shared" si="8"/>
        <v>09</v>
      </c>
      <c r="B261" t="str">
        <f>"09.0999"</f>
        <v>09.0999</v>
      </c>
      <c r="C261" t="s">
        <v>8</v>
      </c>
      <c r="D261" t="s">
        <v>12</v>
      </c>
      <c r="E261" t="s">
        <v>635</v>
      </c>
      <c r="F261" t="s">
        <v>636</v>
      </c>
    </row>
    <row r="262" spans="1:8" x14ac:dyDescent="0.55000000000000004">
      <c r="A262" t="str">
        <f t="shared" si="8"/>
        <v>09</v>
      </c>
      <c r="B262" t="str">
        <f>"09.10"</f>
        <v>09.10</v>
      </c>
      <c r="C262" t="s">
        <v>8</v>
      </c>
      <c r="D262" t="s">
        <v>12</v>
      </c>
      <c r="E262" t="s">
        <v>637</v>
      </c>
      <c r="F262" t="s">
        <v>638</v>
      </c>
    </row>
    <row r="263" spans="1:8" x14ac:dyDescent="0.55000000000000004">
      <c r="A263" t="str">
        <f t="shared" si="8"/>
        <v>09</v>
      </c>
      <c r="B263" t="str">
        <f>"09.1001"</f>
        <v>09.1001</v>
      </c>
      <c r="C263" t="s">
        <v>8</v>
      </c>
      <c r="D263" t="s">
        <v>12</v>
      </c>
      <c r="E263" t="s">
        <v>637</v>
      </c>
      <c r="F263" t="s">
        <v>639</v>
      </c>
    </row>
    <row r="264" spans="1:8" x14ac:dyDescent="0.55000000000000004">
      <c r="A264" t="str">
        <f t="shared" si="8"/>
        <v>09</v>
      </c>
      <c r="B264" t="str">
        <f>"09.99"</f>
        <v>09.99</v>
      </c>
      <c r="C264" t="s">
        <v>8</v>
      </c>
      <c r="D264" t="s">
        <v>12</v>
      </c>
      <c r="E264" t="s">
        <v>640</v>
      </c>
      <c r="F264" t="s">
        <v>641</v>
      </c>
    </row>
    <row r="265" spans="1:8" x14ac:dyDescent="0.55000000000000004">
      <c r="A265" t="str">
        <f t="shared" si="8"/>
        <v>09</v>
      </c>
      <c r="B265" t="str">
        <f>"09.9999"</f>
        <v>09.9999</v>
      </c>
      <c r="C265" t="s">
        <v>8</v>
      </c>
      <c r="D265" t="s">
        <v>12</v>
      </c>
      <c r="E265" t="s">
        <v>640</v>
      </c>
      <c r="F265" t="s">
        <v>642</v>
      </c>
    </row>
    <row r="266" spans="1:8" x14ac:dyDescent="0.55000000000000004">
      <c r="A266" t="str">
        <f>"10"</f>
        <v>10</v>
      </c>
      <c r="B266" t="str">
        <f>"10"</f>
        <v>10</v>
      </c>
      <c r="C266" t="s">
        <v>8</v>
      </c>
      <c r="D266" t="s">
        <v>12</v>
      </c>
      <c r="E266" t="s">
        <v>643</v>
      </c>
      <c r="F266" t="s">
        <v>644</v>
      </c>
    </row>
    <row r="267" spans="1:8" x14ac:dyDescent="0.55000000000000004">
      <c r="A267" t="str">
        <f t="shared" ref="A267:A286" si="9">"10"</f>
        <v>10</v>
      </c>
      <c r="B267" t="str">
        <f>"10.01"</f>
        <v>10.01</v>
      </c>
      <c r="C267" t="s">
        <v>8</v>
      </c>
      <c r="D267" t="s">
        <v>9</v>
      </c>
      <c r="E267" t="s">
        <v>645</v>
      </c>
      <c r="F267" t="s">
        <v>646</v>
      </c>
    </row>
    <row r="268" spans="1:8" x14ac:dyDescent="0.55000000000000004">
      <c r="A268" t="str">
        <f t="shared" si="9"/>
        <v>10</v>
      </c>
      <c r="B268" t="str">
        <f>"10.0105"</f>
        <v>10.0105</v>
      </c>
      <c r="C268" t="s">
        <v>8</v>
      </c>
      <c r="D268" t="s">
        <v>12</v>
      </c>
      <c r="E268" t="s">
        <v>647</v>
      </c>
      <c r="F268" t="s">
        <v>648</v>
      </c>
    </row>
    <row r="269" spans="1:8" x14ac:dyDescent="0.55000000000000004">
      <c r="A269" t="str">
        <f t="shared" si="9"/>
        <v>10</v>
      </c>
      <c r="B269" t="str">
        <f>"10.02"</f>
        <v>10.02</v>
      </c>
      <c r="C269" t="s">
        <v>8</v>
      </c>
      <c r="D269" t="s">
        <v>9</v>
      </c>
      <c r="E269" t="s">
        <v>649</v>
      </c>
      <c r="F269" t="s">
        <v>650</v>
      </c>
    </row>
    <row r="270" spans="1:8" x14ac:dyDescent="0.55000000000000004">
      <c r="A270" t="str">
        <f t="shared" si="9"/>
        <v>10</v>
      </c>
      <c r="B270" t="str">
        <f>"10.0201"</f>
        <v>10.0201</v>
      </c>
      <c r="C270" t="s">
        <v>8</v>
      </c>
      <c r="D270" t="s">
        <v>9</v>
      </c>
      <c r="E270" t="s">
        <v>651</v>
      </c>
      <c r="F270" t="s">
        <v>652</v>
      </c>
      <c r="H270" t="s">
        <v>653</v>
      </c>
    </row>
    <row r="271" spans="1:8" x14ac:dyDescent="0.55000000000000004">
      <c r="A271" t="str">
        <f t="shared" si="9"/>
        <v>10</v>
      </c>
      <c r="B271" t="str">
        <f>"10.0202"</f>
        <v>10.0202</v>
      </c>
      <c r="C271" t="s">
        <v>8</v>
      </c>
      <c r="D271" t="s">
        <v>9</v>
      </c>
      <c r="E271" t="s">
        <v>654</v>
      </c>
      <c r="F271" t="s">
        <v>655</v>
      </c>
    </row>
    <row r="272" spans="1:8" x14ac:dyDescent="0.55000000000000004">
      <c r="A272" t="str">
        <f t="shared" si="9"/>
        <v>10</v>
      </c>
      <c r="B272" t="str">
        <f>"10.0203"</f>
        <v>10.0203</v>
      </c>
      <c r="C272" t="s">
        <v>8</v>
      </c>
      <c r="D272" t="s">
        <v>9</v>
      </c>
      <c r="E272" t="s">
        <v>656</v>
      </c>
      <c r="F272" t="s">
        <v>657</v>
      </c>
      <c r="G272" t="s">
        <v>658</v>
      </c>
    </row>
    <row r="273" spans="1:8" x14ac:dyDescent="0.55000000000000004">
      <c r="A273" t="str">
        <f t="shared" si="9"/>
        <v>10</v>
      </c>
      <c r="B273" t="str">
        <f>"10.0204"</f>
        <v>10.0204</v>
      </c>
      <c r="C273" t="s">
        <v>47</v>
      </c>
      <c r="D273" t="s">
        <v>12</v>
      </c>
      <c r="E273" t="s">
        <v>659</v>
      </c>
      <c r="F273" t="s">
        <v>660</v>
      </c>
      <c r="G273" t="s">
        <v>661</v>
      </c>
    </row>
    <row r="274" spans="1:8" x14ac:dyDescent="0.55000000000000004">
      <c r="A274" t="str">
        <f t="shared" si="9"/>
        <v>10</v>
      </c>
      <c r="B274" t="str">
        <f>"10.0299"</f>
        <v>10.0299</v>
      </c>
      <c r="C274" t="s">
        <v>8</v>
      </c>
      <c r="D274" t="s">
        <v>9</v>
      </c>
      <c r="E274" t="s">
        <v>662</v>
      </c>
      <c r="F274" t="s">
        <v>663</v>
      </c>
      <c r="H274" t="s">
        <v>664</v>
      </c>
    </row>
    <row r="275" spans="1:8" x14ac:dyDescent="0.55000000000000004">
      <c r="A275" t="str">
        <f t="shared" si="9"/>
        <v>10</v>
      </c>
      <c r="B275" t="str">
        <f>"10.03"</f>
        <v>10.03</v>
      </c>
      <c r="C275" t="s">
        <v>8</v>
      </c>
      <c r="D275" t="s">
        <v>12</v>
      </c>
      <c r="E275" t="s">
        <v>665</v>
      </c>
      <c r="F275" t="s">
        <v>666</v>
      </c>
    </row>
    <row r="276" spans="1:8" x14ac:dyDescent="0.55000000000000004">
      <c r="A276" t="str">
        <f t="shared" si="9"/>
        <v>10</v>
      </c>
      <c r="B276" t="str">
        <f>"10.0301"</f>
        <v>10.0301</v>
      </c>
      <c r="C276" t="s">
        <v>8</v>
      </c>
      <c r="D276" t="s">
        <v>12</v>
      </c>
      <c r="E276" t="s">
        <v>667</v>
      </c>
      <c r="F276" t="s">
        <v>668</v>
      </c>
      <c r="G276" t="s">
        <v>669</v>
      </c>
    </row>
    <row r="277" spans="1:8" x14ac:dyDescent="0.55000000000000004">
      <c r="A277" t="str">
        <f t="shared" si="9"/>
        <v>10</v>
      </c>
      <c r="B277" t="str">
        <f>"10.0302"</f>
        <v>10.0302</v>
      </c>
      <c r="C277" t="s">
        <v>8</v>
      </c>
      <c r="D277" t="s">
        <v>12</v>
      </c>
      <c r="E277" t="s">
        <v>670</v>
      </c>
      <c r="F277" t="s">
        <v>671</v>
      </c>
    </row>
    <row r="278" spans="1:8" x14ac:dyDescent="0.55000000000000004">
      <c r="A278" t="str">
        <f t="shared" si="9"/>
        <v>10</v>
      </c>
      <c r="B278" t="str">
        <f>"10.0303"</f>
        <v>10.0303</v>
      </c>
      <c r="C278" t="s">
        <v>8</v>
      </c>
      <c r="D278" t="s">
        <v>12</v>
      </c>
      <c r="E278" t="s">
        <v>672</v>
      </c>
      <c r="F278" t="s">
        <v>673</v>
      </c>
    </row>
    <row r="279" spans="1:8" x14ac:dyDescent="0.55000000000000004">
      <c r="A279" t="str">
        <f t="shared" si="9"/>
        <v>10</v>
      </c>
      <c r="B279" t="str">
        <f>"10.0304"</f>
        <v>10.0304</v>
      </c>
      <c r="C279" t="s">
        <v>8</v>
      </c>
      <c r="D279" t="s">
        <v>12</v>
      </c>
      <c r="E279" t="s">
        <v>674</v>
      </c>
      <c r="F279" t="s">
        <v>675</v>
      </c>
    </row>
    <row r="280" spans="1:8" x14ac:dyDescent="0.55000000000000004">
      <c r="A280" t="str">
        <f t="shared" si="9"/>
        <v>10</v>
      </c>
      <c r="B280" t="str">
        <f>"10.0305"</f>
        <v>10.0305</v>
      </c>
      <c r="C280" t="s">
        <v>8</v>
      </c>
      <c r="D280" t="s">
        <v>12</v>
      </c>
      <c r="E280" t="s">
        <v>676</v>
      </c>
      <c r="F280" t="s">
        <v>677</v>
      </c>
    </row>
    <row r="281" spans="1:8" x14ac:dyDescent="0.55000000000000004">
      <c r="A281" t="str">
        <f t="shared" si="9"/>
        <v>10</v>
      </c>
      <c r="B281" t="str">
        <f>"10.0306"</f>
        <v>10.0306</v>
      </c>
      <c r="C281" t="s">
        <v>8</v>
      </c>
      <c r="D281" t="s">
        <v>12</v>
      </c>
      <c r="E281" t="s">
        <v>678</v>
      </c>
      <c r="F281" t="s">
        <v>679</v>
      </c>
    </row>
    <row r="282" spans="1:8" x14ac:dyDescent="0.55000000000000004">
      <c r="A282" t="str">
        <f t="shared" si="9"/>
        <v>10</v>
      </c>
      <c r="B282" t="str">
        <f>"10.0307"</f>
        <v>10.0307</v>
      </c>
      <c r="C282" t="s">
        <v>8</v>
      </c>
      <c r="D282" t="s">
        <v>12</v>
      </c>
      <c r="E282" t="s">
        <v>680</v>
      </c>
      <c r="F282" t="s">
        <v>681</v>
      </c>
    </row>
    <row r="283" spans="1:8" x14ac:dyDescent="0.55000000000000004">
      <c r="A283" t="str">
        <f t="shared" si="9"/>
        <v>10</v>
      </c>
      <c r="B283" t="str">
        <f>"10.0308"</f>
        <v>10.0308</v>
      </c>
      <c r="C283" t="s">
        <v>8</v>
      </c>
      <c r="D283" t="s">
        <v>12</v>
      </c>
      <c r="E283" t="s">
        <v>682</v>
      </c>
      <c r="F283" t="s">
        <v>683</v>
      </c>
    </row>
    <row r="284" spans="1:8" x14ac:dyDescent="0.55000000000000004">
      <c r="A284" t="str">
        <f t="shared" si="9"/>
        <v>10</v>
      </c>
      <c r="B284" t="str">
        <f>"10.0399"</f>
        <v>10.0399</v>
      </c>
      <c r="C284" t="s">
        <v>8</v>
      </c>
      <c r="D284" t="s">
        <v>12</v>
      </c>
      <c r="E284" t="s">
        <v>684</v>
      </c>
      <c r="F284" t="s">
        <v>685</v>
      </c>
    </row>
    <row r="285" spans="1:8" x14ac:dyDescent="0.55000000000000004">
      <c r="A285" t="str">
        <f t="shared" si="9"/>
        <v>10</v>
      </c>
      <c r="B285" t="str">
        <f>"10.99"</f>
        <v>10.99</v>
      </c>
      <c r="C285" t="s">
        <v>8</v>
      </c>
      <c r="D285" t="s">
        <v>12</v>
      </c>
      <c r="E285" t="s">
        <v>686</v>
      </c>
      <c r="F285" t="s">
        <v>687</v>
      </c>
    </row>
    <row r="286" spans="1:8" x14ac:dyDescent="0.55000000000000004">
      <c r="A286" t="str">
        <f t="shared" si="9"/>
        <v>10</v>
      </c>
      <c r="B286" t="str">
        <f>"10.9999"</f>
        <v>10.9999</v>
      </c>
      <c r="C286" t="s">
        <v>8</v>
      </c>
      <c r="D286" t="s">
        <v>12</v>
      </c>
      <c r="E286" t="s">
        <v>686</v>
      </c>
      <c r="F286" t="s">
        <v>688</v>
      </c>
    </row>
    <row r="287" spans="1:8" x14ac:dyDescent="0.55000000000000004">
      <c r="A287" t="str">
        <f>"11"</f>
        <v>11</v>
      </c>
      <c r="B287" t="str">
        <f>"11"</f>
        <v>11</v>
      </c>
      <c r="C287" t="s">
        <v>8</v>
      </c>
      <c r="D287" t="s">
        <v>12</v>
      </c>
      <c r="E287" t="s">
        <v>689</v>
      </c>
      <c r="F287" t="s">
        <v>690</v>
      </c>
    </row>
    <row r="288" spans="1:8" x14ac:dyDescent="0.55000000000000004">
      <c r="A288" t="str">
        <f t="shared" ref="A288:A333" si="10">"11"</f>
        <v>11</v>
      </c>
      <c r="B288" t="str">
        <f>"11.01"</f>
        <v>11.01</v>
      </c>
      <c r="C288" t="s">
        <v>8</v>
      </c>
      <c r="D288" t="s">
        <v>12</v>
      </c>
      <c r="E288" t="s">
        <v>691</v>
      </c>
      <c r="F288" t="s">
        <v>692</v>
      </c>
    </row>
    <row r="289" spans="1:8" x14ac:dyDescent="0.55000000000000004">
      <c r="A289" t="str">
        <f t="shared" si="10"/>
        <v>11</v>
      </c>
      <c r="B289" t="str">
        <f>"11.0101"</f>
        <v>11.0101</v>
      </c>
      <c r="C289" t="s">
        <v>8</v>
      </c>
      <c r="D289" t="s">
        <v>12</v>
      </c>
      <c r="E289" t="s">
        <v>691</v>
      </c>
      <c r="F289" t="s">
        <v>693</v>
      </c>
    </row>
    <row r="290" spans="1:8" x14ac:dyDescent="0.55000000000000004">
      <c r="A290" t="str">
        <f t="shared" si="10"/>
        <v>11</v>
      </c>
      <c r="B290" t="str">
        <f>"11.0102"</f>
        <v>11.0102</v>
      </c>
      <c r="C290" t="s">
        <v>8</v>
      </c>
      <c r="D290" t="s">
        <v>12</v>
      </c>
      <c r="E290" t="s">
        <v>694</v>
      </c>
      <c r="F290" t="s">
        <v>695</v>
      </c>
      <c r="G290" t="s">
        <v>696</v>
      </c>
    </row>
    <row r="291" spans="1:8" x14ac:dyDescent="0.55000000000000004">
      <c r="A291" t="str">
        <f t="shared" si="10"/>
        <v>11</v>
      </c>
      <c r="B291" t="str">
        <f>"11.0103"</f>
        <v>11.0103</v>
      </c>
      <c r="C291" t="s">
        <v>8</v>
      </c>
      <c r="D291" t="s">
        <v>12</v>
      </c>
      <c r="E291" t="s">
        <v>697</v>
      </c>
      <c r="F291" t="s">
        <v>698</v>
      </c>
    </row>
    <row r="292" spans="1:8" x14ac:dyDescent="0.55000000000000004">
      <c r="A292" t="str">
        <f t="shared" si="10"/>
        <v>11</v>
      </c>
      <c r="B292" t="str">
        <f>"11.0104"</f>
        <v>11.0104</v>
      </c>
      <c r="C292" t="s">
        <v>8</v>
      </c>
      <c r="D292" t="s">
        <v>12</v>
      </c>
      <c r="E292" t="s">
        <v>699</v>
      </c>
      <c r="F292" t="s">
        <v>700</v>
      </c>
      <c r="G292" t="s">
        <v>701</v>
      </c>
      <c r="H292" t="s">
        <v>702</v>
      </c>
    </row>
    <row r="293" spans="1:8" x14ac:dyDescent="0.55000000000000004">
      <c r="A293" t="str">
        <f t="shared" si="10"/>
        <v>11</v>
      </c>
      <c r="B293" t="str">
        <f>"11.0105"</f>
        <v>11.0105</v>
      </c>
      <c r="C293" t="s">
        <v>47</v>
      </c>
      <c r="D293" t="s">
        <v>12</v>
      </c>
      <c r="E293" t="s">
        <v>703</v>
      </c>
      <c r="F293" t="s">
        <v>704</v>
      </c>
      <c r="G293" t="s">
        <v>705</v>
      </c>
    </row>
    <row r="294" spans="1:8" x14ac:dyDescent="0.55000000000000004">
      <c r="A294" t="str">
        <f t="shared" si="10"/>
        <v>11</v>
      </c>
      <c r="B294" t="str">
        <f>"11.0199"</f>
        <v>11.0199</v>
      </c>
      <c r="C294" t="s">
        <v>8</v>
      </c>
      <c r="D294" t="s">
        <v>12</v>
      </c>
      <c r="E294" t="s">
        <v>706</v>
      </c>
      <c r="F294" t="s">
        <v>707</v>
      </c>
    </row>
    <row r="295" spans="1:8" x14ac:dyDescent="0.55000000000000004">
      <c r="A295" t="str">
        <f t="shared" si="10"/>
        <v>11</v>
      </c>
      <c r="B295" t="str">
        <f>"11.02"</f>
        <v>11.02</v>
      </c>
      <c r="C295" t="s">
        <v>8</v>
      </c>
      <c r="D295" t="s">
        <v>12</v>
      </c>
      <c r="E295" t="s">
        <v>708</v>
      </c>
      <c r="F295" t="s">
        <v>709</v>
      </c>
    </row>
    <row r="296" spans="1:8" x14ac:dyDescent="0.55000000000000004">
      <c r="A296" t="str">
        <f t="shared" si="10"/>
        <v>11</v>
      </c>
      <c r="B296" t="str">
        <f>"11.0201"</f>
        <v>11.0201</v>
      </c>
      <c r="C296" t="s">
        <v>8</v>
      </c>
      <c r="D296" t="s">
        <v>12</v>
      </c>
      <c r="E296" t="s">
        <v>710</v>
      </c>
      <c r="F296" t="s">
        <v>711</v>
      </c>
    </row>
    <row r="297" spans="1:8" x14ac:dyDescent="0.55000000000000004">
      <c r="A297" t="str">
        <f t="shared" si="10"/>
        <v>11</v>
      </c>
      <c r="B297" t="str">
        <f>"11.0202"</f>
        <v>11.0202</v>
      </c>
      <c r="C297" t="s">
        <v>8</v>
      </c>
      <c r="D297" t="s">
        <v>12</v>
      </c>
      <c r="E297" t="s">
        <v>712</v>
      </c>
      <c r="F297" t="s">
        <v>713</v>
      </c>
    </row>
    <row r="298" spans="1:8" x14ac:dyDescent="0.55000000000000004">
      <c r="A298" t="str">
        <f t="shared" si="10"/>
        <v>11</v>
      </c>
      <c r="B298" t="str">
        <f>"11.0203"</f>
        <v>11.0203</v>
      </c>
      <c r="C298" t="s">
        <v>8</v>
      </c>
      <c r="D298" t="s">
        <v>12</v>
      </c>
      <c r="E298" t="s">
        <v>714</v>
      </c>
      <c r="F298" t="s">
        <v>715</v>
      </c>
    </row>
    <row r="299" spans="1:8" x14ac:dyDescent="0.55000000000000004">
      <c r="A299" t="str">
        <f t="shared" si="10"/>
        <v>11</v>
      </c>
      <c r="B299" t="str">
        <f>"11.0204"</f>
        <v>11.0204</v>
      </c>
      <c r="C299" t="s">
        <v>47</v>
      </c>
      <c r="D299" t="s">
        <v>12</v>
      </c>
      <c r="E299" t="s">
        <v>716</v>
      </c>
      <c r="F299" t="s">
        <v>717</v>
      </c>
      <c r="G299" t="s">
        <v>718</v>
      </c>
    </row>
    <row r="300" spans="1:8" x14ac:dyDescent="0.55000000000000004">
      <c r="A300" t="str">
        <f t="shared" si="10"/>
        <v>11</v>
      </c>
      <c r="B300" t="str">
        <f>"11.0205"</f>
        <v>11.0205</v>
      </c>
      <c r="C300" t="s">
        <v>47</v>
      </c>
      <c r="D300" t="s">
        <v>12</v>
      </c>
      <c r="E300" t="s">
        <v>719</v>
      </c>
      <c r="F300" t="s">
        <v>720</v>
      </c>
    </row>
    <row r="301" spans="1:8" x14ac:dyDescent="0.55000000000000004">
      <c r="A301" t="str">
        <f t="shared" si="10"/>
        <v>11</v>
      </c>
      <c r="B301" t="str">
        <f>"11.0299"</f>
        <v>11.0299</v>
      </c>
      <c r="C301" t="s">
        <v>8</v>
      </c>
      <c r="D301" t="s">
        <v>12</v>
      </c>
      <c r="E301" t="s">
        <v>721</v>
      </c>
      <c r="F301" t="s">
        <v>722</v>
      </c>
    </row>
    <row r="302" spans="1:8" x14ac:dyDescent="0.55000000000000004">
      <c r="A302" t="str">
        <f t="shared" si="10"/>
        <v>11</v>
      </c>
      <c r="B302" t="str">
        <f>"11.03"</f>
        <v>11.03</v>
      </c>
      <c r="C302" t="s">
        <v>8</v>
      </c>
      <c r="D302" t="s">
        <v>12</v>
      </c>
      <c r="E302" t="s">
        <v>723</v>
      </c>
      <c r="F302" t="s">
        <v>724</v>
      </c>
    </row>
    <row r="303" spans="1:8" x14ac:dyDescent="0.55000000000000004">
      <c r="A303" t="str">
        <f t="shared" si="10"/>
        <v>11</v>
      </c>
      <c r="B303" t="str">
        <f>"11.0301"</f>
        <v>11.0301</v>
      </c>
      <c r="C303" t="s">
        <v>8</v>
      </c>
      <c r="D303" t="s">
        <v>12</v>
      </c>
      <c r="E303" t="s">
        <v>725</v>
      </c>
      <c r="F303" t="s">
        <v>726</v>
      </c>
    </row>
    <row r="304" spans="1:8" x14ac:dyDescent="0.55000000000000004">
      <c r="A304" t="str">
        <f t="shared" si="10"/>
        <v>11</v>
      </c>
      <c r="B304" t="str">
        <f>"11.04"</f>
        <v>11.04</v>
      </c>
      <c r="C304" t="s">
        <v>8</v>
      </c>
      <c r="D304" t="s">
        <v>12</v>
      </c>
      <c r="E304" t="s">
        <v>727</v>
      </c>
      <c r="F304" t="s">
        <v>728</v>
      </c>
    </row>
    <row r="305" spans="1:7" x14ac:dyDescent="0.55000000000000004">
      <c r="A305" t="str">
        <f t="shared" si="10"/>
        <v>11</v>
      </c>
      <c r="B305" t="str">
        <f>"11.0401"</f>
        <v>11.0401</v>
      </c>
      <c r="C305" t="s">
        <v>8</v>
      </c>
      <c r="D305" t="s">
        <v>12</v>
      </c>
      <c r="E305" t="s">
        <v>727</v>
      </c>
      <c r="F305" t="s">
        <v>729</v>
      </c>
      <c r="G305" t="s">
        <v>730</v>
      </c>
    </row>
    <row r="306" spans="1:7" x14ac:dyDescent="0.55000000000000004">
      <c r="A306" t="str">
        <f t="shared" si="10"/>
        <v>11</v>
      </c>
      <c r="B306" t="str">
        <f>"11.05"</f>
        <v>11.05</v>
      </c>
      <c r="C306" t="s">
        <v>8</v>
      </c>
      <c r="D306" t="s">
        <v>12</v>
      </c>
      <c r="E306" t="s">
        <v>731</v>
      </c>
      <c r="F306" t="s">
        <v>732</v>
      </c>
    </row>
    <row r="307" spans="1:7" x14ac:dyDescent="0.55000000000000004">
      <c r="A307" t="str">
        <f t="shared" si="10"/>
        <v>11</v>
      </c>
      <c r="B307" t="str">
        <f>"11.0501"</f>
        <v>11.0501</v>
      </c>
      <c r="C307" t="s">
        <v>8</v>
      </c>
      <c r="D307" t="s">
        <v>12</v>
      </c>
      <c r="E307" t="s">
        <v>733</v>
      </c>
      <c r="F307" t="s">
        <v>734</v>
      </c>
      <c r="G307" t="s">
        <v>735</v>
      </c>
    </row>
    <row r="308" spans="1:7" x14ac:dyDescent="0.55000000000000004">
      <c r="A308" t="str">
        <f t="shared" si="10"/>
        <v>11</v>
      </c>
      <c r="B308" t="str">
        <f>"11.06"</f>
        <v>11.06</v>
      </c>
      <c r="C308" t="s">
        <v>8</v>
      </c>
      <c r="D308" t="s">
        <v>12</v>
      </c>
      <c r="E308" t="s">
        <v>736</v>
      </c>
      <c r="F308" t="s">
        <v>737</v>
      </c>
    </row>
    <row r="309" spans="1:7" x14ac:dyDescent="0.55000000000000004">
      <c r="A309" t="str">
        <f t="shared" si="10"/>
        <v>11</v>
      </c>
      <c r="B309" t="str">
        <f>"11.0601"</f>
        <v>11.0601</v>
      </c>
      <c r="C309" t="s">
        <v>8</v>
      </c>
      <c r="D309" t="s">
        <v>12</v>
      </c>
      <c r="E309" t="s">
        <v>738</v>
      </c>
      <c r="F309" t="s">
        <v>739</v>
      </c>
    </row>
    <row r="310" spans="1:7" x14ac:dyDescent="0.55000000000000004">
      <c r="A310" t="str">
        <f t="shared" si="10"/>
        <v>11</v>
      </c>
      <c r="B310" t="str">
        <f>"11.0602"</f>
        <v>11.0602</v>
      </c>
      <c r="C310" t="s">
        <v>8</v>
      </c>
      <c r="D310" t="s">
        <v>12</v>
      </c>
      <c r="E310" t="s">
        <v>740</v>
      </c>
      <c r="F310" t="s">
        <v>741</v>
      </c>
    </row>
    <row r="311" spans="1:7" x14ac:dyDescent="0.55000000000000004">
      <c r="A311" t="str">
        <f t="shared" si="10"/>
        <v>11</v>
      </c>
      <c r="B311" t="str">
        <f>"11.0699"</f>
        <v>11.0699</v>
      </c>
      <c r="C311" t="s">
        <v>8</v>
      </c>
      <c r="D311" t="s">
        <v>12</v>
      </c>
      <c r="E311" t="s">
        <v>742</v>
      </c>
      <c r="F311" t="s">
        <v>743</v>
      </c>
    </row>
    <row r="312" spans="1:7" x14ac:dyDescent="0.55000000000000004">
      <c r="A312" t="str">
        <f t="shared" si="10"/>
        <v>11</v>
      </c>
      <c r="B312" t="str">
        <f>"11.07"</f>
        <v>11.07</v>
      </c>
      <c r="C312" t="s">
        <v>8</v>
      </c>
      <c r="D312" t="s">
        <v>12</v>
      </c>
      <c r="E312" t="s">
        <v>744</v>
      </c>
      <c r="F312" t="s">
        <v>745</v>
      </c>
    </row>
    <row r="313" spans="1:7" x14ac:dyDescent="0.55000000000000004">
      <c r="A313" t="str">
        <f t="shared" si="10"/>
        <v>11</v>
      </c>
      <c r="B313" t="str">
        <f>"11.0701"</f>
        <v>11.0701</v>
      </c>
      <c r="C313" t="s">
        <v>8</v>
      </c>
      <c r="D313" t="s">
        <v>12</v>
      </c>
      <c r="E313" t="s">
        <v>744</v>
      </c>
      <c r="F313" t="s">
        <v>746</v>
      </c>
      <c r="G313" t="s">
        <v>747</v>
      </c>
    </row>
    <row r="314" spans="1:7" x14ac:dyDescent="0.55000000000000004">
      <c r="A314" t="str">
        <f t="shared" si="10"/>
        <v>11</v>
      </c>
      <c r="B314" t="str">
        <f>"11.08"</f>
        <v>11.08</v>
      </c>
      <c r="C314" t="s">
        <v>8</v>
      </c>
      <c r="D314" t="s">
        <v>12</v>
      </c>
      <c r="E314" t="s">
        <v>748</v>
      </c>
      <c r="F314" t="s">
        <v>749</v>
      </c>
    </row>
    <row r="315" spans="1:7" x14ac:dyDescent="0.55000000000000004">
      <c r="A315" t="str">
        <f t="shared" si="10"/>
        <v>11</v>
      </c>
      <c r="B315" t="str">
        <f>"11.0801"</f>
        <v>11.0801</v>
      </c>
      <c r="C315" t="s">
        <v>8</v>
      </c>
      <c r="D315" t="s">
        <v>9</v>
      </c>
      <c r="E315" t="s">
        <v>750</v>
      </c>
      <c r="F315" t="s">
        <v>751</v>
      </c>
    </row>
    <row r="316" spans="1:7" x14ac:dyDescent="0.55000000000000004">
      <c r="A316" t="str">
        <f t="shared" si="10"/>
        <v>11</v>
      </c>
      <c r="B316" t="str">
        <f>"11.0802"</f>
        <v>11.0802</v>
      </c>
      <c r="C316" t="s">
        <v>8</v>
      </c>
      <c r="D316" t="s">
        <v>12</v>
      </c>
      <c r="E316" t="s">
        <v>752</v>
      </c>
      <c r="F316" t="s">
        <v>753</v>
      </c>
    </row>
    <row r="317" spans="1:7" x14ac:dyDescent="0.55000000000000004">
      <c r="A317" t="str">
        <f t="shared" si="10"/>
        <v>11</v>
      </c>
      <c r="B317" t="str">
        <f>"11.0803"</f>
        <v>11.0803</v>
      </c>
      <c r="C317" t="s">
        <v>8</v>
      </c>
      <c r="D317" t="s">
        <v>12</v>
      </c>
      <c r="E317" t="s">
        <v>754</v>
      </c>
      <c r="F317" t="s">
        <v>755</v>
      </c>
    </row>
    <row r="318" spans="1:7" x14ac:dyDescent="0.55000000000000004">
      <c r="A318" t="str">
        <f t="shared" si="10"/>
        <v>11</v>
      </c>
      <c r="B318" t="str">
        <f>"11.0804"</f>
        <v>11.0804</v>
      </c>
      <c r="C318" t="s">
        <v>8</v>
      </c>
      <c r="D318" t="s">
        <v>12</v>
      </c>
      <c r="E318" t="s">
        <v>756</v>
      </c>
      <c r="F318" t="s">
        <v>757</v>
      </c>
      <c r="G318" t="s">
        <v>718</v>
      </c>
    </row>
    <row r="319" spans="1:7" x14ac:dyDescent="0.55000000000000004">
      <c r="A319" t="str">
        <f t="shared" si="10"/>
        <v>11</v>
      </c>
      <c r="B319" t="str">
        <f>"11.0899"</f>
        <v>11.0899</v>
      </c>
      <c r="C319" t="s">
        <v>8</v>
      </c>
      <c r="D319" t="s">
        <v>12</v>
      </c>
      <c r="E319" t="s">
        <v>758</v>
      </c>
      <c r="F319" t="s">
        <v>759</v>
      </c>
    </row>
    <row r="320" spans="1:7" x14ac:dyDescent="0.55000000000000004">
      <c r="A320" t="str">
        <f t="shared" si="10"/>
        <v>11</v>
      </c>
      <c r="B320" t="str">
        <f>"11.09"</f>
        <v>11.09</v>
      </c>
      <c r="C320" t="s">
        <v>8</v>
      </c>
      <c r="D320" t="s">
        <v>12</v>
      </c>
      <c r="E320" t="s">
        <v>760</v>
      </c>
      <c r="F320" t="s">
        <v>761</v>
      </c>
    </row>
    <row r="321" spans="1:8" x14ac:dyDescent="0.55000000000000004">
      <c r="A321" t="str">
        <f t="shared" si="10"/>
        <v>11</v>
      </c>
      <c r="B321" t="str">
        <f>"11.0901"</f>
        <v>11.0901</v>
      </c>
      <c r="C321" t="s">
        <v>8</v>
      </c>
      <c r="D321" t="s">
        <v>12</v>
      </c>
      <c r="E321" t="s">
        <v>760</v>
      </c>
      <c r="F321" t="s">
        <v>762</v>
      </c>
      <c r="H321" t="s">
        <v>763</v>
      </c>
    </row>
    <row r="322" spans="1:8" x14ac:dyDescent="0.55000000000000004">
      <c r="A322" t="str">
        <f t="shared" si="10"/>
        <v>11</v>
      </c>
      <c r="B322" t="str">
        <f>"11.0902"</f>
        <v>11.0902</v>
      </c>
      <c r="C322" t="s">
        <v>47</v>
      </c>
      <c r="D322" t="s">
        <v>12</v>
      </c>
      <c r="E322" t="s">
        <v>764</v>
      </c>
      <c r="F322" t="s">
        <v>765</v>
      </c>
    </row>
    <row r="323" spans="1:8" x14ac:dyDescent="0.55000000000000004">
      <c r="A323" t="str">
        <f t="shared" si="10"/>
        <v>11</v>
      </c>
      <c r="B323" t="str">
        <f>"11.0999"</f>
        <v>11.0999</v>
      </c>
      <c r="C323" t="s">
        <v>47</v>
      </c>
      <c r="D323" t="s">
        <v>12</v>
      </c>
      <c r="E323" t="s">
        <v>766</v>
      </c>
      <c r="F323" t="s">
        <v>767</v>
      </c>
    </row>
    <row r="324" spans="1:8" x14ac:dyDescent="0.55000000000000004">
      <c r="A324" t="str">
        <f t="shared" si="10"/>
        <v>11</v>
      </c>
      <c r="B324" t="str">
        <f>"11.10"</f>
        <v>11.10</v>
      </c>
      <c r="C324" t="s">
        <v>8</v>
      </c>
      <c r="D324" t="s">
        <v>12</v>
      </c>
      <c r="E324" t="s">
        <v>768</v>
      </c>
      <c r="F324" t="s">
        <v>769</v>
      </c>
    </row>
    <row r="325" spans="1:8" x14ac:dyDescent="0.55000000000000004">
      <c r="A325" t="str">
        <f t="shared" si="10"/>
        <v>11</v>
      </c>
      <c r="B325" t="str">
        <f>"11.1001"</f>
        <v>11.1001</v>
      </c>
      <c r="C325" t="s">
        <v>8</v>
      </c>
      <c r="D325" t="s">
        <v>12</v>
      </c>
      <c r="E325" t="s">
        <v>770</v>
      </c>
      <c r="F325" t="s">
        <v>771</v>
      </c>
      <c r="H325" t="s">
        <v>772</v>
      </c>
    </row>
    <row r="326" spans="1:8" x14ac:dyDescent="0.55000000000000004">
      <c r="A326" t="str">
        <f t="shared" si="10"/>
        <v>11</v>
      </c>
      <c r="B326" t="str">
        <f>"11.1002"</f>
        <v>11.1002</v>
      </c>
      <c r="C326" t="s">
        <v>8</v>
      </c>
      <c r="D326" t="s">
        <v>12</v>
      </c>
      <c r="E326" t="s">
        <v>773</v>
      </c>
      <c r="F326" t="s">
        <v>774</v>
      </c>
    </row>
    <row r="327" spans="1:8" x14ac:dyDescent="0.55000000000000004">
      <c r="A327" t="str">
        <f t="shared" si="10"/>
        <v>11</v>
      </c>
      <c r="B327" t="str">
        <f>"11.1003"</f>
        <v>11.1003</v>
      </c>
      <c r="C327" t="s">
        <v>8</v>
      </c>
      <c r="D327" t="s">
        <v>9</v>
      </c>
      <c r="E327" t="s">
        <v>775</v>
      </c>
      <c r="F327" t="s">
        <v>776</v>
      </c>
      <c r="G327" t="s">
        <v>777</v>
      </c>
      <c r="H327" t="s">
        <v>778</v>
      </c>
    </row>
    <row r="328" spans="1:8" x14ac:dyDescent="0.55000000000000004">
      <c r="A328" t="str">
        <f t="shared" si="10"/>
        <v>11</v>
      </c>
      <c r="B328" t="str">
        <f>"11.1004"</f>
        <v>11.1004</v>
      </c>
      <c r="C328" t="s">
        <v>8</v>
      </c>
      <c r="D328" t="s">
        <v>12</v>
      </c>
      <c r="E328" t="s">
        <v>779</v>
      </c>
      <c r="F328" t="s">
        <v>780</v>
      </c>
      <c r="H328" t="s">
        <v>781</v>
      </c>
    </row>
    <row r="329" spans="1:8" x14ac:dyDescent="0.55000000000000004">
      <c r="A329" t="str">
        <f t="shared" si="10"/>
        <v>11</v>
      </c>
      <c r="B329" t="str">
        <f>"11.1005"</f>
        <v>11.1005</v>
      </c>
      <c r="C329" t="s">
        <v>8</v>
      </c>
      <c r="D329" t="s">
        <v>12</v>
      </c>
      <c r="E329" t="s">
        <v>782</v>
      </c>
      <c r="F329" t="s">
        <v>783</v>
      </c>
      <c r="G329" t="s">
        <v>784</v>
      </c>
    </row>
    <row r="330" spans="1:8" x14ac:dyDescent="0.55000000000000004">
      <c r="A330" t="str">
        <f t="shared" si="10"/>
        <v>11</v>
      </c>
      <c r="B330" t="str">
        <f>"11.1006"</f>
        <v>11.1006</v>
      </c>
      <c r="C330" t="s">
        <v>8</v>
      </c>
      <c r="D330" t="s">
        <v>12</v>
      </c>
      <c r="E330" t="s">
        <v>785</v>
      </c>
      <c r="F330" t="s">
        <v>786</v>
      </c>
      <c r="H330" t="s">
        <v>787</v>
      </c>
    </row>
    <row r="331" spans="1:8" x14ac:dyDescent="0.55000000000000004">
      <c r="A331" t="str">
        <f t="shared" si="10"/>
        <v>11</v>
      </c>
      <c r="B331" t="str">
        <f>"11.1099"</f>
        <v>11.1099</v>
      </c>
      <c r="C331" t="s">
        <v>8</v>
      </c>
      <c r="D331" t="s">
        <v>12</v>
      </c>
      <c r="E331" t="s">
        <v>788</v>
      </c>
      <c r="F331" t="s">
        <v>789</v>
      </c>
      <c r="G331" t="s">
        <v>790</v>
      </c>
    </row>
    <row r="332" spans="1:8" x14ac:dyDescent="0.55000000000000004">
      <c r="A332" t="str">
        <f t="shared" si="10"/>
        <v>11</v>
      </c>
      <c r="B332" t="str">
        <f>"11.99"</f>
        <v>11.99</v>
      </c>
      <c r="C332" t="s">
        <v>8</v>
      </c>
      <c r="D332" t="s">
        <v>12</v>
      </c>
      <c r="E332" t="s">
        <v>791</v>
      </c>
      <c r="F332" t="s">
        <v>792</v>
      </c>
    </row>
    <row r="333" spans="1:8" x14ac:dyDescent="0.55000000000000004">
      <c r="A333" t="str">
        <f t="shared" si="10"/>
        <v>11</v>
      </c>
      <c r="B333" t="str">
        <f>"11.9999"</f>
        <v>11.9999</v>
      </c>
      <c r="C333" t="s">
        <v>8</v>
      </c>
      <c r="D333" t="s">
        <v>12</v>
      </c>
      <c r="E333" t="s">
        <v>791</v>
      </c>
      <c r="F333" t="s">
        <v>793</v>
      </c>
      <c r="G333" t="s">
        <v>794</v>
      </c>
    </row>
    <row r="334" spans="1:8" x14ac:dyDescent="0.55000000000000004">
      <c r="A334" t="str">
        <f>"12"</f>
        <v>12</v>
      </c>
      <c r="B334" t="str">
        <f>"12"</f>
        <v>12</v>
      </c>
      <c r="C334" t="s">
        <v>8</v>
      </c>
      <c r="D334" t="s">
        <v>9</v>
      </c>
      <c r="E334" t="s">
        <v>795</v>
      </c>
      <c r="F334" t="s">
        <v>796</v>
      </c>
    </row>
    <row r="335" spans="1:8" x14ac:dyDescent="0.55000000000000004">
      <c r="A335" t="str">
        <f t="shared" ref="A335:A373" si="11">"12"</f>
        <v>12</v>
      </c>
      <c r="B335" t="str">
        <f>"12.03"</f>
        <v>12.03</v>
      </c>
      <c r="C335" t="s">
        <v>8</v>
      </c>
      <c r="D335" t="s">
        <v>12</v>
      </c>
      <c r="E335" t="s">
        <v>797</v>
      </c>
      <c r="F335" t="s">
        <v>798</v>
      </c>
    </row>
    <row r="336" spans="1:8" x14ac:dyDescent="0.55000000000000004">
      <c r="A336" t="str">
        <f t="shared" si="11"/>
        <v>12</v>
      </c>
      <c r="B336" t="str">
        <f>"12.0301"</f>
        <v>12.0301</v>
      </c>
      <c r="C336" t="s">
        <v>8</v>
      </c>
      <c r="D336" t="s">
        <v>12</v>
      </c>
      <c r="E336" t="s">
        <v>799</v>
      </c>
      <c r="F336" t="s">
        <v>800</v>
      </c>
    </row>
    <row r="337" spans="1:8" x14ac:dyDescent="0.55000000000000004">
      <c r="A337" t="str">
        <f t="shared" si="11"/>
        <v>12</v>
      </c>
      <c r="B337" t="str">
        <f>"12.0302"</f>
        <v>12.0302</v>
      </c>
      <c r="C337" t="s">
        <v>8</v>
      </c>
      <c r="D337" t="s">
        <v>12</v>
      </c>
      <c r="E337" t="s">
        <v>801</v>
      </c>
      <c r="F337" t="s">
        <v>802</v>
      </c>
    </row>
    <row r="338" spans="1:8" x14ac:dyDescent="0.55000000000000004">
      <c r="A338" t="str">
        <f t="shared" si="11"/>
        <v>12</v>
      </c>
      <c r="B338" t="str">
        <f>"12.0303"</f>
        <v>12.0303</v>
      </c>
      <c r="C338" t="s">
        <v>8</v>
      </c>
      <c r="D338" t="s">
        <v>12</v>
      </c>
      <c r="E338" t="s">
        <v>803</v>
      </c>
      <c r="F338" t="s">
        <v>804</v>
      </c>
    </row>
    <row r="339" spans="1:8" x14ac:dyDescent="0.55000000000000004">
      <c r="A339" t="str">
        <f t="shared" si="11"/>
        <v>12</v>
      </c>
      <c r="B339" t="str">
        <f>"12.0399"</f>
        <v>12.0399</v>
      </c>
      <c r="C339" t="s">
        <v>8</v>
      </c>
      <c r="D339" t="s">
        <v>12</v>
      </c>
      <c r="E339" t="s">
        <v>805</v>
      </c>
      <c r="F339" t="s">
        <v>806</v>
      </c>
    </row>
    <row r="340" spans="1:8" x14ac:dyDescent="0.55000000000000004">
      <c r="A340" t="str">
        <f t="shared" si="11"/>
        <v>12</v>
      </c>
      <c r="B340" t="str">
        <f>"12.04"</f>
        <v>12.04</v>
      </c>
      <c r="C340" t="s">
        <v>8</v>
      </c>
      <c r="D340" t="s">
        <v>12</v>
      </c>
      <c r="E340" t="s">
        <v>807</v>
      </c>
      <c r="F340" t="s">
        <v>808</v>
      </c>
    </row>
    <row r="341" spans="1:8" x14ac:dyDescent="0.55000000000000004">
      <c r="A341" t="str">
        <f t="shared" si="11"/>
        <v>12</v>
      </c>
      <c r="B341" t="str">
        <f>"12.0401"</f>
        <v>12.0401</v>
      </c>
      <c r="C341" t="s">
        <v>8</v>
      </c>
      <c r="D341" t="s">
        <v>12</v>
      </c>
      <c r="E341" t="s">
        <v>809</v>
      </c>
      <c r="F341" t="s">
        <v>810</v>
      </c>
    </row>
    <row r="342" spans="1:8" x14ac:dyDescent="0.55000000000000004">
      <c r="A342" t="str">
        <f t="shared" si="11"/>
        <v>12</v>
      </c>
      <c r="B342" t="str">
        <f>"12.0402"</f>
        <v>12.0402</v>
      </c>
      <c r="C342" t="s">
        <v>8</v>
      </c>
      <c r="D342" t="s">
        <v>12</v>
      </c>
      <c r="E342" t="s">
        <v>811</v>
      </c>
      <c r="F342" t="s">
        <v>812</v>
      </c>
    </row>
    <row r="343" spans="1:8" x14ac:dyDescent="0.55000000000000004">
      <c r="A343" t="str">
        <f t="shared" si="11"/>
        <v>12</v>
      </c>
      <c r="B343" t="str">
        <f>"12.0404"</f>
        <v>12.0404</v>
      </c>
      <c r="C343" t="s">
        <v>8</v>
      </c>
      <c r="D343" t="s">
        <v>12</v>
      </c>
      <c r="E343" t="s">
        <v>813</v>
      </c>
      <c r="F343" t="s">
        <v>814</v>
      </c>
    </row>
    <row r="344" spans="1:8" x14ac:dyDescent="0.55000000000000004">
      <c r="A344" t="str">
        <f t="shared" si="11"/>
        <v>12</v>
      </c>
      <c r="B344" t="str">
        <f>"12.0406"</f>
        <v>12.0406</v>
      </c>
      <c r="C344" t="s">
        <v>8</v>
      </c>
      <c r="D344" t="s">
        <v>12</v>
      </c>
      <c r="E344" t="s">
        <v>815</v>
      </c>
      <c r="F344" t="s">
        <v>816</v>
      </c>
    </row>
    <row r="345" spans="1:8" x14ac:dyDescent="0.55000000000000004">
      <c r="A345" t="str">
        <f t="shared" si="11"/>
        <v>12</v>
      </c>
      <c r="B345" t="str">
        <f>"12.0407"</f>
        <v>12.0407</v>
      </c>
      <c r="C345" t="s">
        <v>8</v>
      </c>
      <c r="D345" t="s">
        <v>12</v>
      </c>
      <c r="E345" t="s">
        <v>817</v>
      </c>
      <c r="F345" t="s">
        <v>818</v>
      </c>
      <c r="H345" t="s">
        <v>819</v>
      </c>
    </row>
    <row r="346" spans="1:8" x14ac:dyDescent="0.55000000000000004">
      <c r="A346" t="str">
        <f t="shared" si="11"/>
        <v>12</v>
      </c>
      <c r="B346" t="str">
        <f>"12.0408"</f>
        <v>12.0408</v>
      </c>
      <c r="C346" t="s">
        <v>8</v>
      </c>
      <c r="D346" t="s">
        <v>12</v>
      </c>
      <c r="E346" t="s">
        <v>820</v>
      </c>
      <c r="F346" t="s">
        <v>821</v>
      </c>
    </row>
    <row r="347" spans="1:8" x14ac:dyDescent="0.55000000000000004">
      <c r="A347" t="str">
        <f t="shared" si="11"/>
        <v>12</v>
      </c>
      <c r="B347" t="str">
        <f>"12.0409"</f>
        <v>12.0409</v>
      </c>
      <c r="C347" t="s">
        <v>8</v>
      </c>
      <c r="D347" t="s">
        <v>12</v>
      </c>
      <c r="E347" t="s">
        <v>822</v>
      </c>
      <c r="F347" t="s">
        <v>823</v>
      </c>
      <c r="H347" t="s">
        <v>824</v>
      </c>
    </row>
    <row r="348" spans="1:8" x14ac:dyDescent="0.55000000000000004">
      <c r="A348" t="str">
        <f t="shared" si="11"/>
        <v>12</v>
      </c>
      <c r="B348" t="str">
        <f>"12.0410"</f>
        <v>12.0410</v>
      </c>
      <c r="C348" t="s">
        <v>8</v>
      </c>
      <c r="D348" t="s">
        <v>12</v>
      </c>
      <c r="E348" t="s">
        <v>825</v>
      </c>
      <c r="F348" t="s">
        <v>826</v>
      </c>
    </row>
    <row r="349" spans="1:8" x14ac:dyDescent="0.55000000000000004">
      <c r="A349" t="str">
        <f t="shared" si="11"/>
        <v>12</v>
      </c>
      <c r="B349" t="str">
        <f>"12.0411"</f>
        <v>12.0411</v>
      </c>
      <c r="C349" t="s">
        <v>8</v>
      </c>
      <c r="D349" t="s">
        <v>12</v>
      </c>
      <c r="E349" t="s">
        <v>827</v>
      </c>
      <c r="F349" t="s">
        <v>828</v>
      </c>
    </row>
    <row r="350" spans="1:8" x14ac:dyDescent="0.55000000000000004">
      <c r="A350" t="str">
        <f t="shared" si="11"/>
        <v>12</v>
      </c>
      <c r="B350" t="str">
        <f>"12.0412"</f>
        <v>12.0412</v>
      </c>
      <c r="C350" t="s">
        <v>8</v>
      </c>
      <c r="D350" t="s">
        <v>12</v>
      </c>
      <c r="E350" t="s">
        <v>829</v>
      </c>
      <c r="F350" t="s">
        <v>830</v>
      </c>
    </row>
    <row r="351" spans="1:8" x14ac:dyDescent="0.55000000000000004">
      <c r="A351" t="str">
        <f t="shared" si="11"/>
        <v>12</v>
      </c>
      <c r="B351" t="str">
        <f>"12.0413"</f>
        <v>12.0413</v>
      </c>
      <c r="C351" t="s">
        <v>8</v>
      </c>
      <c r="D351" t="s">
        <v>12</v>
      </c>
      <c r="E351" t="s">
        <v>831</v>
      </c>
      <c r="F351" t="s">
        <v>832</v>
      </c>
      <c r="H351" t="s">
        <v>833</v>
      </c>
    </row>
    <row r="352" spans="1:8" x14ac:dyDescent="0.55000000000000004">
      <c r="A352" t="str">
        <f t="shared" si="11"/>
        <v>12</v>
      </c>
      <c r="B352" t="str">
        <f>"12.0414"</f>
        <v>12.0414</v>
      </c>
      <c r="C352" t="s">
        <v>8</v>
      </c>
      <c r="D352" t="s">
        <v>12</v>
      </c>
      <c r="E352" t="s">
        <v>834</v>
      </c>
      <c r="F352" t="s">
        <v>835</v>
      </c>
      <c r="H352" t="s">
        <v>836</v>
      </c>
    </row>
    <row r="353" spans="1:8" x14ac:dyDescent="0.55000000000000004">
      <c r="A353" t="str">
        <f t="shared" si="11"/>
        <v>12</v>
      </c>
      <c r="B353" t="str">
        <f>"12.0499"</f>
        <v>12.0499</v>
      </c>
      <c r="C353" t="s">
        <v>8</v>
      </c>
      <c r="D353" t="s">
        <v>12</v>
      </c>
      <c r="E353" t="s">
        <v>837</v>
      </c>
      <c r="F353" t="s">
        <v>838</v>
      </c>
    </row>
    <row r="354" spans="1:8" x14ac:dyDescent="0.55000000000000004">
      <c r="A354" t="str">
        <f t="shared" si="11"/>
        <v>12</v>
      </c>
      <c r="B354" t="str">
        <f>"12.05"</f>
        <v>12.05</v>
      </c>
      <c r="C354" t="s">
        <v>8</v>
      </c>
      <c r="D354" t="s">
        <v>12</v>
      </c>
      <c r="E354" t="s">
        <v>839</v>
      </c>
      <c r="F354" t="s">
        <v>840</v>
      </c>
    </row>
    <row r="355" spans="1:8" x14ac:dyDescent="0.55000000000000004">
      <c r="A355" t="str">
        <f t="shared" si="11"/>
        <v>12</v>
      </c>
      <c r="B355" t="str">
        <f>"12.0500"</f>
        <v>12.0500</v>
      </c>
      <c r="C355" t="s">
        <v>8</v>
      </c>
      <c r="D355" t="s">
        <v>12</v>
      </c>
      <c r="E355" t="s">
        <v>841</v>
      </c>
      <c r="F355" t="s">
        <v>842</v>
      </c>
      <c r="H355" t="s">
        <v>843</v>
      </c>
    </row>
    <row r="356" spans="1:8" x14ac:dyDescent="0.55000000000000004">
      <c r="A356" t="str">
        <f t="shared" si="11"/>
        <v>12</v>
      </c>
      <c r="B356" t="str">
        <f>"12.0501"</f>
        <v>12.0501</v>
      </c>
      <c r="C356" t="s">
        <v>8</v>
      </c>
      <c r="D356" t="s">
        <v>12</v>
      </c>
      <c r="E356" t="s">
        <v>844</v>
      </c>
      <c r="F356" t="s">
        <v>845</v>
      </c>
    </row>
    <row r="357" spans="1:8" x14ac:dyDescent="0.55000000000000004">
      <c r="A357" t="str">
        <f t="shared" si="11"/>
        <v>12</v>
      </c>
      <c r="B357" t="str">
        <f>"12.0502"</f>
        <v>12.0502</v>
      </c>
      <c r="C357" t="s">
        <v>8</v>
      </c>
      <c r="D357" t="s">
        <v>12</v>
      </c>
      <c r="E357" t="s">
        <v>846</v>
      </c>
      <c r="F357" t="s">
        <v>847</v>
      </c>
    </row>
    <row r="358" spans="1:8" x14ac:dyDescent="0.55000000000000004">
      <c r="A358" t="str">
        <f t="shared" si="11"/>
        <v>12</v>
      </c>
      <c r="B358" t="str">
        <f>"12.0503"</f>
        <v>12.0503</v>
      </c>
      <c r="C358" t="s">
        <v>8</v>
      </c>
      <c r="D358" t="s">
        <v>12</v>
      </c>
      <c r="E358" t="s">
        <v>848</v>
      </c>
      <c r="F358" t="s">
        <v>849</v>
      </c>
    </row>
    <row r="359" spans="1:8" x14ac:dyDescent="0.55000000000000004">
      <c r="A359" t="str">
        <f t="shared" si="11"/>
        <v>12</v>
      </c>
      <c r="B359" t="str">
        <f>"12.0504"</f>
        <v>12.0504</v>
      </c>
      <c r="C359" t="s">
        <v>8</v>
      </c>
      <c r="D359" t="s">
        <v>12</v>
      </c>
      <c r="E359" t="s">
        <v>850</v>
      </c>
      <c r="F359" t="s">
        <v>851</v>
      </c>
      <c r="G359" t="s">
        <v>852</v>
      </c>
    </row>
    <row r="360" spans="1:8" x14ac:dyDescent="0.55000000000000004">
      <c r="A360" t="str">
        <f t="shared" si="11"/>
        <v>12</v>
      </c>
      <c r="B360" t="str">
        <f>"12.0505"</f>
        <v>12.0505</v>
      </c>
      <c r="C360" t="s">
        <v>8</v>
      </c>
      <c r="D360" t="s">
        <v>12</v>
      </c>
      <c r="E360" t="s">
        <v>853</v>
      </c>
      <c r="F360" t="s">
        <v>854</v>
      </c>
    </row>
    <row r="361" spans="1:8" x14ac:dyDescent="0.55000000000000004">
      <c r="A361" t="str">
        <f t="shared" si="11"/>
        <v>12</v>
      </c>
      <c r="B361" t="str">
        <f>"12.0506"</f>
        <v>12.0506</v>
      </c>
      <c r="C361" t="s">
        <v>8</v>
      </c>
      <c r="D361" t="s">
        <v>12</v>
      </c>
      <c r="E361" t="s">
        <v>855</v>
      </c>
      <c r="F361" t="s">
        <v>856</v>
      </c>
    </row>
    <row r="362" spans="1:8" x14ac:dyDescent="0.55000000000000004">
      <c r="A362" t="str">
        <f t="shared" si="11"/>
        <v>12</v>
      </c>
      <c r="B362" t="str">
        <f>"12.0507"</f>
        <v>12.0507</v>
      </c>
      <c r="C362" t="s">
        <v>8</v>
      </c>
      <c r="D362" t="s">
        <v>12</v>
      </c>
      <c r="E362" t="s">
        <v>857</v>
      </c>
      <c r="F362" t="s">
        <v>858</v>
      </c>
    </row>
    <row r="363" spans="1:8" x14ac:dyDescent="0.55000000000000004">
      <c r="A363" t="str">
        <f t="shared" si="11"/>
        <v>12</v>
      </c>
      <c r="B363" t="str">
        <f>"12.0508"</f>
        <v>12.0508</v>
      </c>
      <c r="C363" t="s">
        <v>8</v>
      </c>
      <c r="D363" t="s">
        <v>12</v>
      </c>
      <c r="E363" t="s">
        <v>859</v>
      </c>
      <c r="F363" t="s">
        <v>860</v>
      </c>
    </row>
    <row r="364" spans="1:8" x14ac:dyDescent="0.55000000000000004">
      <c r="A364" t="str">
        <f t="shared" si="11"/>
        <v>12</v>
      </c>
      <c r="B364" t="str">
        <f>"12.0509"</f>
        <v>12.0509</v>
      </c>
      <c r="C364" t="s">
        <v>8</v>
      </c>
      <c r="D364" t="s">
        <v>12</v>
      </c>
      <c r="E364" t="s">
        <v>861</v>
      </c>
      <c r="F364" t="s">
        <v>862</v>
      </c>
      <c r="G364" t="s">
        <v>863</v>
      </c>
    </row>
    <row r="365" spans="1:8" x14ac:dyDescent="0.55000000000000004">
      <c r="A365" t="str">
        <f t="shared" si="11"/>
        <v>12</v>
      </c>
      <c r="B365" t="str">
        <f>"12.0510"</f>
        <v>12.0510</v>
      </c>
      <c r="C365" t="s">
        <v>8</v>
      </c>
      <c r="D365" t="s">
        <v>12</v>
      </c>
      <c r="E365" t="s">
        <v>864</v>
      </c>
      <c r="F365" t="s">
        <v>865</v>
      </c>
    </row>
    <row r="366" spans="1:8" x14ac:dyDescent="0.55000000000000004">
      <c r="A366" t="str">
        <f t="shared" si="11"/>
        <v>12</v>
      </c>
      <c r="B366" t="str">
        <f>"12.0580"</f>
        <v>12.0580</v>
      </c>
      <c r="C366" t="s">
        <v>47</v>
      </c>
      <c r="D366" t="s">
        <v>12</v>
      </c>
      <c r="E366" t="s">
        <v>82</v>
      </c>
      <c r="F366" t="s">
        <v>83</v>
      </c>
    </row>
    <row r="367" spans="1:8" x14ac:dyDescent="0.55000000000000004">
      <c r="A367" t="str">
        <f t="shared" si="11"/>
        <v>12</v>
      </c>
      <c r="B367" t="str">
        <f>"12.0599"</f>
        <v>12.0599</v>
      </c>
      <c r="C367" t="s">
        <v>8</v>
      </c>
      <c r="D367" t="s">
        <v>12</v>
      </c>
      <c r="E367" t="s">
        <v>866</v>
      </c>
      <c r="F367" t="s">
        <v>867</v>
      </c>
    </row>
    <row r="368" spans="1:8" x14ac:dyDescent="0.55000000000000004">
      <c r="A368" t="str">
        <f t="shared" si="11"/>
        <v>12</v>
      </c>
      <c r="B368" t="str">
        <f>"12.06"</f>
        <v>12.06</v>
      </c>
      <c r="C368" t="s">
        <v>47</v>
      </c>
      <c r="D368" t="s">
        <v>12</v>
      </c>
      <c r="E368" t="s">
        <v>868</v>
      </c>
      <c r="F368" t="s">
        <v>869</v>
      </c>
    </row>
    <row r="369" spans="1:8" x14ac:dyDescent="0.55000000000000004">
      <c r="A369" t="str">
        <f t="shared" si="11"/>
        <v>12</v>
      </c>
      <c r="B369" t="str">
        <f>"12.0601"</f>
        <v>12.0601</v>
      </c>
      <c r="C369" t="s">
        <v>47</v>
      </c>
      <c r="D369" t="s">
        <v>12</v>
      </c>
      <c r="E369" t="s">
        <v>870</v>
      </c>
      <c r="F369" t="s">
        <v>871</v>
      </c>
      <c r="G369" t="s">
        <v>872</v>
      </c>
    </row>
    <row r="370" spans="1:8" x14ac:dyDescent="0.55000000000000004">
      <c r="A370" t="str">
        <f t="shared" si="11"/>
        <v>12</v>
      </c>
      <c r="B370" t="str">
        <f>"12.0602"</f>
        <v>12.0602</v>
      </c>
      <c r="C370" t="s">
        <v>47</v>
      </c>
      <c r="D370" t="s">
        <v>12</v>
      </c>
      <c r="E370" t="s">
        <v>873</v>
      </c>
      <c r="F370" t="s">
        <v>874</v>
      </c>
      <c r="G370" t="s">
        <v>872</v>
      </c>
    </row>
    <row r="371" spans="1:8" x14ac:dyDescent="0.55000000000000004">
      <c r="A371" t="str">
        <f t="shared" si="11"/>
        <v>12</v>
      </c>
      <c r="B371" t="str">
        <f>"12.0699"</f>
        <v>12.0699</v>
      </c>
      <c r="C371" t="s">
        <v>47</v>
      </c>
      <c r="D371" t="s">
        <v>12</v>
      </c>
      <c r="E371" t="s">
        <v>875</v>
      </c>
      <c r="F371" t="s">
        <v>876</v>
      </c>
    </row>
    <row r="372" spans="1:8" x14ac:dyDescent="0.55000000000000004">
      <c r="A372" t="str">
        <f t="shared" si="11"/>
        <v>12</v>
      </c>
      <c r="B372" t="str">
        <f>"12.99"</f>
        <v>12.99</v>
      </c>
      <c r="C372" t="s">
        <v>8</v>
      </c>
      <c r="D372" t="s">
        <v>9</v>
      </c>
      <c r="E372" t="s">
        <v>877</v>
      </c>
      <c r="F372" t="s">
        <v>878</v>
      </c>
    </row>
    <row r="373" spans="1:8" x14ac:dyDescent="0.55000000000000004">
      <c r="A373" t="str">
        <f t="shared" si="11"/>
        <v>12</v>
      </c>
      <c r="B373" t="str">
        <f>"12.9999"</f>
        <v>12.9999</v>
      </c>
      <c r="C373" t="s">
        <v>8</v>
      </c>
      <c r="D373" t="s">
        <v>9</v>
      </c>
      <c r="E373" t="s">
        <v>877</v>
      </c>
      <c r="F373" t="s">
        <v>879</v>
      </c>
    </row>
    <row r="374" spans="1:8" x14ac:dyDescent="0.55000000000000004">
      <c r="A374" t="str">
        <f>"13"</f>
        <v>13</v>
      </c>
      <c r="B374" t="str">
        <f>"13"</f>
        <v>13</v>
      </c>
      <c r="C374" t="s">
        <v>8</v>
      </c>
      <c r="D374" t="s">
        <v>12</v>
      </c>
      <c r="E374" t="s">
        <v>880</v>
      </c>
      <c r="F374" t="s">
        <v>881</v>
      </c>
    </row>
    <row r="375" spans="1:8" x14ac:dyDescent="0.55000000000000004">
      <c r="A375" t="str">
        <f t="shared" ref="A375:A406" si="12">"13"</f>
        <v>13</v>
      </c>
      <c r="B375" t="str">
        <f>"13.01"</f>
        <v>13.01</v>
      </c>
      <c r="C375" t="s">
        <v>8</v>
      </c>
      <c r="D375" t="s">
        <v>12</v>
      </c>
      <c r="E375" t="s">
        <v>882</v>
      </c>
      <c r="F375" t="s">
        <v>883</v>
      </c>
    </row>
    <row r="376" spans="1:8" x14ac:dyDescent="0.55000000000000004">
      <c r="A376" t="str">
        <f t="shared" si="12"/>
        <v>13</v>
      </c>
      <c r="B376" t="str">
        <f>"13.0101"</f>
        <v>13.0101</v>
      </c>
      <c r="C376" t="s">
        <v>8</v>
      </c>
      <c r="D376" t="s">
        <v>12</v>
      </c>
      <c r="E376" t="s">
        <v>882</v>
      </c>
      <c r="F376" t="s">
        <v>884</v>
      </c>
    </row>
    <row r="377" spans="1:8" x14ac:dyDescent="0.55000000000000004">
      <c r="A377" t="str">
        <f t="shared" si="12"/>
        <v>13</v>
      </c>
      <c r="B377" t="str">
        <f>"13.02"</f>
        <v>13.02</v>
      </c>
      <c r="C377" t="s">
        <v>8</v>
      </c>
      <c r="D377" t="s">
        <v>12</v>
      </c>
      <c r="E377" t="s">
        <v>885</v>
      </c>
      <c r="F377" t="s">
        <v>886</v>
      </c>
    </row>
    <row r="378" spans="1:8" x14ac:dyDescent="0.55000000000000004">
      <c r="A378" t="str">
        <f t="shared" si="12"/>
        <v>13</v>
      </c>
      <c r="B378" t="str">
        <f>"13.0201"</f>
        <v>13.0201</v>
      </c>
      <c r="C378" t="s">
        <v>8</v>
      </c>
      <c r="D378" t="s">
        <v>12</v>
      </c>
      <c r="E378" t="s">
        <v>887</v>
      </c>
      <c r="F378" t="s">
        <v>888</v>
      </c>
      <c r="G378" t="s">
        <v>889</v>
      </c>
    </row>
    <row r="379" spans="1:8" x14ac:dyDescent="0.55000000000000004">
      <c r="A379" t="str">
        <f t="shared" si="12"/>
        <v>13</v>
      </c>
      <c r="B379" t="str">
        <f>"13.0202"</f>
        <v>13.0202</v>
      </c>
      <c r="C379" t="s">
        <v>8</v>
      </c>
      <c r="D379" t="s">
        <v>12</v>
      </c>
      <c r="E379" t="s">
        <v>890</v>
      </c>
      <c r="F379" t="s">
        <v>891</v>
      </c>
      <c r="G379" t="s">
        <v>889</v>
      </c>
    </row>
    <row r="380" spans="1:8" x14ac:dyDescent="0.55000000000000004">
      <c r="A380" t="str">
        <f t="shared" si="12"/>
        <v>13</v>
      </c>
      <c r="B380" t="str">
        <f>"13.0203"</f>
        <v>13.0203</v>
      </c>
      <c r="C380" t="s">
        <v>8</v>
      </c>
      <c r="D380" t="s">
        <v>12</v>
      </c>
      <c r="E380" t="s">
        <v>892</v>
      </c>
      <c r="F380" t="s">
        <v>893</v>
      </c>
    </row>
    <row r="381" spans="1:8" x14ac:dyDescent="0.55000000000000004">
      <c r="A381" t="str">
        <f t="shared" si="12"/>
        <v>13</v>
      </c>
      <c r="B381" t="str">
        <f>"13.0299"</f>
        <v>13.0299</v>
      </c>
      <c r="C381" t="s">
        <v>8</v>
      </c>
      <c r="D381" t="s">
        <v>12</v>
      </c>
      <c r="E381" t="s">
        <v>894</v>
      </c>
      <c r="F381" t="s">
        <v>895</v>
      </c>
    </row>
    <row r="382" spans="1:8" x14ac:dyDescent="0.55000000000000004">
      <c r="A382" t="str">
        <f t="shared" si="12"/>
        <v>13</v>
      </c>
      <c r="B382" t="str">
        <f>"13.03"</f>
        <v>13.03</v>
      </c>
      <c r="C382" t="s">
        <v>8</v>
      </c>
      <c r="D382" t="s">
        <v>12</v>
      </c>
      <c r="E382" t="s">
        <v>896</v>
      </c>
      <c r="F382" t="s">
        <v>897</v>
      </c>
    </row>
    <row r="383" spans="1:8" x14ac:dyDescent="0.55000000000000004">
      <c r="A383" t="str">
        <f t="shared" si="12"/>
        <v>13</v>
      </c>
      <c r="B383" t="str">
        <f>"13.0301"</f>
        <v>13.0301</v>
      </c>
      <c r="C383" t="s">
        <v>8</v>
      </c>
      <c r="D383" t="s">
        <v>12</v>
      </c>
      <c r="E383" t="s">
        <v>896</v>
      </c>
      <c r="F383" t="s">
        <v>898</v>
      </c>
      <c r="H383" t="s">
        <v>899</v>
      </c>
    </row>
    <row r="384" spans="1:8" x14ac:dyDescent="0.55000000000000004">
      <c r="A384" t="str">
        <f t="shared" si="12"/>
        <v>13</v>
      </c>
      <c r="B384" t="str">
        <f>"13.04"</f>
        <v>13.04</v>
      </c>
      <c r="C384" t="s">
        <v>8</v>
      </c>
      <c r="D384" t="s">
        <v>12</v>
      </c>
      <c r="E384" t="s">
        <v>900</v>
      </c>
      <c r="F384" t="s">
        <v>901</v>
      </c>
    </row>
    <row r="385" spans="1:8" x14ac:dyDescent="0.55000000000000004">
      <c r="A385" t="str">
        <f t="shared" si="12"/>
        <v>13</v>
      </c>
      <c r="B385" t="str">
        <f>"13.0401"</f>
        <v>13.0401</v>
      </c>
      <c r="C385" t="s">
        <v>8</v>
      </c>
      <c r="D385" t="s">
        <v>12</v>
      </c>
      <c r="E385" t="s">
        <v>902</v>
      </c>
      <c r="F385" t="s">
        <v>903</v>
      </c>
      <c r="H385" t="s">
        <v>904</v>
      </c>
    </row>
    <row r="386" spans="1:8" x14ac:dyDescent="0.55000000000000004">
      <c r="A386" t="str">
        <f t="shared" si="12"/>
        <v>13</v>
      </c>
      <c r="B386" t="str">
        <f>"13.0402"</f>
        <v>13.0402</v>
      </c>
      <c r="C386" t="s">
        <v>8</v>
      </c>
      <c r="D386" t="s">
        <v>12</v>
      </c>
      <c r="E386" t="s">
        <v>905</v>
      </c>
      <c r="F386" t="s">
        <v>906</v>
      </c>
    </row>
    <row r="387" spans="1:8" x14ac:dyDescent="0.55000000000000004">
      <c r="A387" t="str">
        <f t="shared" si="12"/>
        <v>13</v>
      </c>
      <c r="B387" t="str">
        <f>"13.0403"</f>
        <v>13.0403</v>
      </c>
      <c r="C387" t="s">
        <v>8</v>
      </c>
      <c r="D387" t="s">
        <v>12</v>
      </c>
      <c r="E387" t="s">
        <v>907</v>
      </c>
      <c r="F387" t="s">
        <v>908</v>
      </c>
    </row>
    <row r="388" spans="1:8" x14ac:dyDescent="0.55000000000000004">
      <c r="A388" t="str">
        <f t="shared" si="12"/>
        <v>13</v>
      </c>
      <c r="B388" t="str">
        <f>"13.0404"</f>
        <v>13.0404</v>
      </c>
      <c r="C388" t="s">
        <v>8</v>
      </c>
      <c r="D388" t="s">
        <v>12</v>
      </c>
      <c r="E388" t="s">
        <v>909</v>
      </c>
      <c r="F388" t="s">
        <v>910</v>
      </c>
    </row>
    <row r="389" spans="1:8" x14ac:dyDescent="0.55000000000000004">
      <c r="A389" t="str">
        <f t="shared" si="12"/>
        <v>13</v>
      </c>
      <c r="B389" t="str">
        <f>"13.0406"</f>
        <v>13.0406</v>
      </c>
      <c r="C389" t="s">
        <v>8</v>
      </c>
      <c r="D389" t="s">
        <v>12</v>
      </c>
      <c r="E389" t="s">
        <v>911</v>
      </c>
      <c r="F389" t="s">
        <v>912</v>
      </c>
      <c r="G389" t="s">
        <v>913</v>
      </c>
      <c r="H389" t="s">
        <v>914</v>
      </c>
    </row>
    <row r="390" spans="1:8" x14ac:dyDescent="0.55000000000000004">
      <c r="A390" t="str">
        <f t="shared" si="12"/>
        <v>13</v>
      </c>
      <c r="B390" t="str">
        <f>"13.0407"</f>
        <v>13.0407</v>
      </c>
      <c r="C390" t="s">
        <v>8</v>
      </c>
      <c r="D390" t="s">
        <v>9</v>
      </c>
      <c r="E390" t="s">
        <v>915</v>
      </c>
      <c r="F390" t="s">
        <v>916</v>
      </c>
      <c r="H390" t="s">
        <v>917</v>
      </c>
    </row>
    <row r="391" spans="1:8" x14ac:dyDescent="0.55000000000000004">
      <c r="A391" t="str">
        <f t="shared" si="12"/>
        <v>13</v>
      </c>
      <c r="B391" t="str">
        <f>"13.0408"</f>
        <v>13.0408</v>
      </c>
      <c r="C391" t="s">
        <v>8</v>
      </c>
      <c r="D391" t="s">
        <v>12</v>
      </c>
      <c r="E391" t="s">
        <v>918</v>
      </c>
      <c r="F391" t="s">
        <v>919</v>
      </c>
    </row>
    <row r="392" spans="1:8" x14ac:dyDescent="0.55000000000000004">
      <c r="A392" t="str">
        <f t="shared" si="12"/>
        <v>13</v>
      </c>
      <c r="B392" t="str">
        <f>"13.0409"</f>
        <v>13.0409</v>
      </c>
      <c r="C392" t="s">
        <v>8</v>
      </c>
      <c r="D392" t="s">
        <v>12</v>
      </c>
      <c r="E392" t="s">
        <v>920</v>
      </c>
      <c r="F392" t="s">
        <v>921</v>
      </c>
    </row>
    <row r="393" spans="1:8" x14ac:dyDescent="0.55000000000000004">
      <c r="A393" t="str">
        <f t="shared" si="12"/>
        <v>13</v>
      </c>
      <c r="B393" t="str">
        <f>"13.0410"</f>
        <v>13.0410</v>
      </c>
      <c r="C393" t="s">
        <v>8</v>
      </c>
      <c r="D393" t="s">
        <v>12</v>
      </c>
      <c r="E393" t="s">
        <v>922</v>
      </c>
      <c r="F393" t="s">
        <v>923</v>
      </c>
    </row>
    <row r="394" spans="1:8" x14ac:dyDescent="0.55000000000000004">
      <c r="A394" t="str">
        <f t="shared" si="12"/>
        <v>13</v>
      </c>
      <c r="B394" t="str">
        <f>"13.0411"</f>
        <v>13.0411</v>
      </c>
      <c r="C394" t="s">
        <v>8</v>
      </c>
      <c r="D394" t="s">
        <v>12</v>
      </c>
      <c r="E394" t="s">
        <v>924</v>
      </c>
      <c r="F394" t="s">
        <v>925</v>
      </c>
    </row>
    <row r="395" spans="1:8" x14ac:dyDescent="0.55000000000000004">
      <c r="A395" t="str">
        <f t="shared" si="12"/>
        <v>13</v>
      </c>
      <c r="B395" t="str">
        <f>"13.0412"</f>
        <v>13.0412</v>
      </c>
      <c r="C395" t="s">
        <v>47</v>
      </c>
      <c r="D395" t="s">
        <v>12</v>
      </c>
      <c r="E395" t="s">
        <v>926</v>
      </c>
      <c r="F395" t="s">
        <v>927</v>
      </c>
    </row>
    <row r="396" spans="1:8" x14ac:dyDescent="0.55000000000000004">
      <c r="A396" t="str">
        <f t="shared" si="12"/>
        <v>13</v>
      </c>
      <c r="B396" t="str">
        <f>"13.0413"</f>
        <v>13.0413</v>
      </c>
      <c r="C396" t="s">
        <v>47</v>
      </c>
      <c r="D396" t="s">
        <v>12</v>
      </c>
      <c r="E396" t="s">
        <v>928</v>
      </c>
      <c r="F396" t="s">
        <v>929</v>
      </c>
      <c r="G396" t="s">
        <v>930</v>
      </c>
      <c r="H396" t="s">
        <v>931</v>
      </c>
    </row>
    <row r="397" spans="1:8" x14ac:dyDescent="0.55000000000000004">
      <c r="A397" t="str">
        <f t="shared" si="12"/>
        <v>13</v>
      </c>
      <c r="B397" t="str">
        <f>"13.0414"</f>
        <v>13.0414</v>
      </c>
      <c r="C397" t="s">
        <v>47</v>
      </c>
      <c r="D397" t="s">
        <v>12</v>
      </c>
      <c r="E397" t="s">
        <v>932</v>
      </c>
      <c r="F397" t="s">
        <v>933</v>
      </c>
    </row>
    <row r="398" spans="1:8" x14ac:dyDescent="0.55000000000000004">
      <c r="A398" t="str">
        <f t="shared" si="12"/>
        <v>13</v>
      </c>
      <c r="B398" t="str">
        <f>"13.0499"</f>
        <v>13.0499</v>
      </c>
      <c r="C398" t="s">
        <v>8</v>
      </c>
      <c r="D398" t="s">
        <v>12</v>
      </c>
      <c r="E398" t="s">
        <v>934</v>
      </c>
      <c r="F398" t="s">
        <v>935</v>
      </c>
    </row>
    <row r="399" spans="1:8" x14ac:dyDescent="0.55000000000000004">
      <c r="A399" t="str">
        <f t="shared" si="12"/>
        <v>13</v>
      </c>
      <c r="B399" t="str">
        <f>"13.05"</f>
        <v>13.05</v>
      </c>
      <c r="C399" t="s">
        <v>8</v>
      </c>
      <c r="D399" t="s">
        <v>12</v>
      </c>
      <c r="E399" t="s">
        <v>936</v>
      </c>
      <c r="F399" t="s">
        <v>937</v>
      </c>
    </row>
    <row r="400" spans="1:8" x14ac:dyDescent="0.55000000000000004">
      <c r="A400" t="str">
        <f t="shared" si="12"/>
        <v>13</v>
      </c>
      <c r="B400" t="str">
        <f>"13.0501"</f>
        <v>13.0501</v>
      </c>
      <c r="C400" t="s">
        <v>8</v>
      </c>
      <c r="D400" t="s">
        <v>12</v>
      </c>
      <c r="E400" t="s">
        <v>938</v>
      </c>
      <c r="F400" t="s">
        <v>939</v>
      </c>
      <c r="H400" t="s">
        <v>940</v>
      </c>
    </row>
    <row r="401" spans="1:8" x14ac:dyDescent="0.55000000000000004">
      <c r="A401" t="str">
        <f t="shared" si="12"/>
        <v>13</v>
      </c>
      <c r="B401" t="str">
        <f>"13.06"</f>
        <v>13.06</v>
      </c>
      <c r="C401" t="s">
        <v>8</v>
      </c>
      <c r="D401" t="s">
        <v>12</v>
      </c>
      <c r="E401" t="s">
        <v>941</v>
      </c>
      <c r="F401" t="s">
        <v>942</v>
      </c>
    </row>
    <row r="402" spans="1:8" x14ac:dyDescent="0.55000000000000004">
      <c r="A402" t="str">
        <f t="shared" si="12"/>
        <v>13</v>
      </c>
      <c r="B402" t="str">
        <f>"13.0601"</f>
        <v>13.0601</v>
      </c>
      <c r="C402" t="s">
        <v>8</v>
      </c>
      <c r="D402" t="s">
        <v>12</v>
      </c>
      <c r="E402" t="s">
        <v>943</v>
      </c>
      <c r="F402" t="s">
        <v>944</v>
      </c>
    </row>
    <row r="403" spans="1:8" x14ac:dyDescent="0.55000000000000004">
      <c r="A403" t="str">
        <f t="shared" si="12"/>
        <v>13</v>
      </c>
      <c r="B403" t="str">
        <f>"13.0603"</f>
        <v>13.0603</v>
      </c>
      <c r="C403" t="s">
        <v>8</v>
      </c>
      <c r="D403" t="s">
        <v>12</v>
      </c>
      <c r="E403" t="s">
        <v>945</v>
      </c>
      <c r="F403" t="s">
        <v>946</v>
      </c>
      <c r="G403" t="s">
        <v>947</v>
      </c>
    </row>
    <row r="404" spans="1:8" x14ac:dyDescent="0.55000000000000004">
      <c r="A404" t="str">
        <f t="shared" si="12"/>
        <v>13</v>
      </c>
      <c r="B404" t="str">
        <f>"13.0604"</f>
        <v>13.0604</v>
      </c>
      <c r="C404" t="s">
        <v>8</v>
      </c>
      <c r="D404" t="s">
        <v>12</v>
      </c>
      <c r="E404" t="s">
        <v>948</v>
      </c>
      <c r="F404" t="s">
        <v>949</v>
      </c>
    </row>
    <row r="405" spans="1:8" x14ac:dyDescent="0.55000000000000004">
      <c r="A405" t="str">
        <f t="shared" si="12"/>
        <v>13</v>
      </c>
      <c r="B405" t="str">
        <f>"13.0607"</f>
        <v>13.0607</v>
      </c>
      <c r="C405" t="s">
        <v>8</v>
      </c>
      <c r="D405" t="s">
        <v>12</v>
      </c>
      <c r="E405" t="s">
        <v>950</v>
      </c>
      <c r="F405" t="s">
        <v>951</v>
      </c>
      <c r="H405" t="s">
        <v>952</v>
      </c>
    </row>
    <row r="406" spans="1:8" x14ac:dyDescent="0.55000000000000004">
      <c r="A406" t="str">
        <f t="shared" si="12"/>
        <v>13</v>
      </c>
      <c r="B406" t="str">
        <f>"13.0608"</f>
        <v>13.0608</v>
      </c>
      <c r="C406" t="s">
        <v>47</v>
      </c>
      <c r="D406" t="s">
        <v>12</v>
      </c>
      <c r="E406" t="s">
        <v>953</v>
      </c>
      <c r="F406" t="s">
        <v>954</v>
      </c>
    </row>
    <row r="407" spans="1:8" x14ac:dyDescent="0.55000000000000004">
      <c r="A407" t="str">
        <f t="shared" ref="A407:A438" si="13">"13"</f>
        <v>13</v>
      </c>
      <c r="B407" t="str">
        <f>"13.0699"</f>
        <v>13.0699</v>
      </c>
      <c r="C407" t="s">
        <v>8</v>
      </c>
      <c r="D407" t="s">
        <v>12</v>
      </c>
      <c r="E407" t="s">
        <v>955</v>
      </c>
      <c r="F407" t="s">
        <v>956</v>
      </c>
    </row>
    <row r="408" spans="1:8" x14ac:dyDescent="0.55000000000000004">
      <c r="A408" t="str">
        <f t="shared" si="13"/>
        <v>13</v>
      </c>
      <c r="B408" t="str">
        <f>"13.07"</f>
        <v>13.07</v>
      </c>
      <c r="C408" t="s">
        <v>8</v>
      </c>
      <c r="D408" t="s">
        <v>12</v>
      </c>
      <c r="E408" t="s">
        <v>957</v>
      </c>
      <c r="F408" t="s">
        <v>958</v>
      </c>
    </row>
    <row r="409" spans="1:8" x14ac:dyDescent="0.55000000000000004">
      <c r="A409" t="str">
        <f t="shared" si="13"/>
        <v>13</v>
      </c>
      <c r="B409" t="str">
        <f>"13.0701"</f>
        <v>13.0701</v>
      </c>
      <c r="C409" t="s">
        <v>8</v>
      </c>
      <c r="D409" t="s">
        <v>12</v>
      </c>
      <c r="E409" t="s">
        <v>957</v>
      </c>
      <c r="F409" t="s">
        <v>959</v>
      </c>
    </row>
    <row r="410" spans="1:8" x14ac:dyDescent="0.55000000000000004">
      <c r="A410" t="str">
        <f t="shared" si="13"/>
        <v>13</v>
      </c>
      <c r="B410" t="str">
        <f>"13.09"</f>
        <v>13.09</v>
      </c>
      <c r="C410" t="s">
        <v>8</v>
      </c>
      <c r="D410" t="s">
        <v>12</v>
      </c>
      <c r="E410" t="s">
        <v>960</v>
      </c>
      <c r="F410" t="s">
        <v>961</v>
      </c>
    </row>
    <row r="411" spans="1:8" x14ac:dyDescent="0.55000000000000004">
      <c r="A411" t="str">
        <f t="shared" si="13"/>
        <v>13</v>
      </c>
      <c r="B411" t="str">
        <f>"13.0901"</f>
        <v>13.0901</v>
      </c>
      <c r="C411" t="s">
        <v>8</v>
      </c>
      <c r="D411" t="s">
        <v>12</v>
      </c>
      <c r="E411" t="s">
        <v>960</v>
      </c>
      <c r="F411" t="s">
        <v>962</v>
      </c>
    </row>
    <row r="412" spans="1:8" x14ac:dyDescent="0.55000000000000004">
      <c r="A412" t="str">
        <f t="shared" si="13"/>
        <v>13</v>
      </c>
      <c r="B412" t="str">
        <f>"13.10"</f>
        <v>13.10</v>
      </c>
      <c r="C412" t="s">
        <v>8</v>
      </c>
      <c r="D412" t="s">
        <v>12</v>
      </c>
      <c r="E412" t="s">
        <v>963</v>
      </c>
      <c r="F412" t="s">
        <v>964</v>
      </c>
    </row>
    <row r="413" spans="1:8" x14ac:dyDescent="0.55000000000000004">
      <c r="A413" t="str">
        <f t="shared" si="13"/>
        <v>13</v>
      </c>
      <c r="B413" t="str">
        <f>"13.1001"</f>
        <v>13.1001</v>
      </c>
      <c r="C413" t="s">
        <v>8</v>
      </c>
      <c r="D413" t="s">
        <v>9</v>
      </c>
      <c r="E413" t="s">
        <v>965</v>
      </c>
      <c r="F413" t="s">
        <v>966</v>
      </c>
      <c r="H413" t="s">
        <v>967</v>
      </c>
    </row>
    <row r="414" spans="1:8" x14ac:dyDescent="0.55000000000000004">
      <c r="A414" t="str">
        <f t="shared" si="13"/>
        <v>13</v>
      </c>
      <c r="B414" t="str">
        <f>"13.1003"</f>
        <v>13.1003</v>
      </c>
      <c r="C414" t="s">
        <v>8</v>
      </c>
      <c r="D414" t="s">
        <v>12</v>
      </c>
      <c r="E414" t="s">
        <v>968</v>
      </c>
      <c r="F414" t="s">
        <v>969</v>
      </c>
    </row>
    <row r="415" spans="1:8" x14ac:dyDescent="0.55000000000000004">
      <c r="A415" t="str">
        <f t="shared" si="13"/>
        <v>13</v>
      </c>
      <c r="B415" t="str">
        <f>"13.1004"</f>
        <v>13.1004</v>
      </c>
      <c r="C415" t="s">
        <v>8</v>
      </c>
      <c r="D415" t="s">
        <v>12</v>
      </c>
      <c r="E415" t="s">
        <v>970</v>
      </c>
      <c r="F415" t="s">
        <v>971</v>
      </c>
    </row>
    <row r="416" spans="1:8" x14ac:dyDescent="0.55000000000000004">
      <c r="A416" t="str">
        <f t="shared" si="13"/>
        <v>13</v>
      </c>
      <c r="B416" t="str">
        <f>"13.1005"</f>
        <v>13.1005</v>
      </c>
      <c r="C416" t="s">
        <v>8</v>
      </c>
      <c r="D416" t="s">
        <v>9</v>
      </c>
      <c r="E416" t="s">
        <v>972</v>
      </c>
      <c r="F416" t="s">
        <v>973</v>
      </c>
    </row>
    <row r="417" spans="1:7" x14ac:dyDescent="0.55000000000000004">
      <c r="A417" t="str">
        <f t="shared" si="13"/>
        <v>13</v>
      </c>
      <c r="B417" t="str">
        <f>"13.1006"</f>
        <v>13.1006</v>
      </c>
      <c r="C417" t="s">
        <v>8</v>
      </c>
      <c r="D417" t="s">
        <v>9</v>
      </c>
      <c r="E417" t="s">
        <v>974</v>
      </c>
      <c r="F417" t="s">
        <v>975</v>
      </c>
    </row>
    <row r="418" spans="1:7" x14ac:dyDescent="0.55000000000000004">
      <c r="A418" t="str">
        <f t="shared" si="13"/>
        <v>13</v>
      </c>
      <c r="B418" t="str">
        <f>"13.1007"</f>
        <v>13.1007</v>
      </c>
      <c r="C418" t="s">
        <v>8</v>
      </c>
      <c r="D418" t="s">
        <v>12</v>
      </c>
      <c r="E418" t="s">
        <v>976</v>
      </c>
      <c r="F418" t="s">
        <v>977</v>
      </c>
    </row>
    <row r="419" spans="1:7" x14ac:dyDescent="0.55000000000000004">
      <c r="A419" t="str">
        <f t="shared" si="13"/>
        <v>13</v>
      </c>
      <c r="B419" t="str">
        <f>"13.1008"</f>
        <v>13.1008</v>
      </c>
      <c r="C419" t="s">
        <v>8</v>
      </c>
      <c r="D419" t="s">
        <v>12</v>
      </c>
      <c r="E419" t="s">
        <v>978</v>
      </c>
      <c r="F419" t="s">
        <v>979</v>
      </c>
    </row>
    <row r="420" spans="1:7" x14ac:dyDescent="0.55000000000000004">
      <c r="A420" t="str">
        <f t="shared" si="13"/>
        <v>13</v>
      </c>
      <c r="B420" t="str">
        <f>"13.1009"</f>
        <v>13.1009</v>
      </c>
      <c r="C420" t="s">
        <v>8</v>
      </c>
      <c r="D420" t="s">
        <v>12</v>
      </c>
      <c r="E420" t="s">
        <v>980</v>
      </c>
      <c r="F420" t="s">
        <v>981</v>
      </c>
    </row>
    <row r="421" spans="1:7" x14ac:dyDescent="0.55000000000000004">
      <c r="A421" t="str">
        <f t="shared" si="13"/>
        <v>13</v>
      </c>
      <c r="B421" t="str">
        <f>"13.1011"</f>
        <v>13.1011</v>
      </c>
      <c r="C421" t="s">
        <v>8</v>
      </c>
      <c r="D421" t="s">
        <v>12</v>
      </c>
      <c r="E421" t="s">
        <v>982</v>
      </c>
      <c r="F421" t="s">
        <v>983</v>
      </c>
    </row>
    <row r="422" spans="1:7" x14ac:dyDescent="0.55000000000000004">
      <c r="A422" t="str">
        <f t="shared" si="13"/>
        <v>13</v>
      </c>
      <c r="B422" t="str">
        <f>"13.1012"</f>
        <v>13.1012</v>
      </c>
      <c r="C422" t="s">
        <v>8</v>
      </c>
      <c r="D422" t="s">
        <v>12</v>
      </c>
      <c r="E422" t="s">
        <v>984</v>
      </c>
      <c r="F422" t="s">
        <v>985</v>
      </c>
      <c r="G422" t="s">
        <v>986</v>
      </c>
    </row>
    <row r="423" spans="1:7" x14ac:dyDescent="0.55000000000000004">
      <c r="A423" t="str">
        <f t="shared" si="13"/>
        <v>13</v>
      </c>
      <c r="B423" t="str">
        <f>"13.1013"</f>
        <v>13.1013</v>
      </c>
      <c r="C423" t="s">
        <v>8</v>
      </c>
      <c r="D423" t="s">
        <v>12</v>
      </c>
      <c r="E423" t="s">
        <v>987</v>
      </c>
      <c r="F423" t="s">
        <v>988</v>
      </c>
    </row>
    <row r="424" spans="1:7" x14ac:dyDescent="0.55000000000000004">
      <c r="A424" t="str">
        <f t="shared" si="13"/>
        <v>13</v>
      </c>
      <c r="B424" t="str">
        <f>"13.1014"</f>
        <v>13.1014</v>
      </c>
      <c r="C424" t="s">
        <v>8</v>
      </c>
      <c r="D424" t="s">
        <v>12</v>
      </c>
      <c r="E424" t="s">
        <v>989</v>
      </c>
      <c r="F424" t="s">
        <v>990</v>
      </c>
    </row>
    <row r="425" spans="1:7" x14ac:dyDescent="0.55000000000000004">
      <c r="A425" t="str">
        <f t="shared" si="13"/>
        <v>13</v>
      </c>
      <c r="B425" t="str">
        <f>"13.1015"</f>
        <v>13.1015</v>
      </c>
      <c r="C425" t="s">
        <v>8</v>
      </c>
      <c r="D425" t="s">
        <v>12</v>
      </c>
      <c r="E425" t="s">
        <v>991</v>
      </c>
      <c r="F425" t="s">
        <v>992</v>
      </c>
    </row>
    <row r="426" spans="1:7" x14ac:dyDescent="0.55000000000000004">
      <c r="A426" t="str">
        <f t="shared" si="13"/>
        <v>13</v>
      </c>
      <c r="B426" t="str">
        <f>"13.1016"</f>
        <v>13.1016</v>
      </c>
      <c r="C426" t="s">
        <v>8</v>
      </c>
      <c r="D426" t="s">
        <v>12</v>
      </c>
      <c r="E426" t="s">
        <v>993</v>
      </c>
      <c r="F426" t="s">
        <v>994</v>
      </c>
    </row>
    <row r="427" spans="1:7" x14ac:dyDescent="0.55000000000000004">
      <c r="A427" t="str">
        <f t="shared" si="13"/>
        <v>13</v>
      </c>
      <c r="B427" t="str">
        <f>"13.1017"</f>
        <v>13.1017</v>
      </c>
      <c r="C427" t="s">
        <v>8</v>
      </c>
      <c r="D427" t="s">
        <v>12</v>
      </c>
      <c r="E427" t="s">
        <v>995</v>
      </c>
      <c r="F427" t="s">
        <v>996</v>
      </c>
    </row>
    <row r="428" spans="1:7" x14ac:dyDescent="0.55000000000000004">
      <c r="A428" t="str">
        <f t="shared" si="13"/>
        <v>13</v>
      </c>
      <c r="B428" t="str">
        <f>"13.1018"</f>
        <v>13.1018</v>
      </c>
      <c r="C428" t="s">
        <v>8</v>
      </c>
      <c r="D428" t="s">
        <v>12</v>
      </c>
      <c r="E428" t="s">
        <v>997</v>
      </c>
      <c r="F428" t="s">
        <v>998</v>
      </c>
    </row>
    <row r="429" spans="1:7" x14ac:dyDescent="0.55000000000000004">
      <c r="A429" t="str">
        <f t="shared" si="13"/>
        <v>13</v>
      </c>
      <c r="B429" t="str">
        <f>"13.1019"</f>
        <v>13.1019</v>
      </c>
      <c r="C429" t="s">
        <v>8</v>
      </c>
      <c r="D429" t="s">
        <v>12</v>
      </c>
      <c r="E429" t="s">
        <v>999</v>
      </c>
      <c r="F429" t="s">
        <v>1000</v>
      </c>
    </row>
    <row r="430" spans="1:7" x14ac:dyDescent="0.55000000000000004">
      <c r="A430" t="str">
        <f t="shared" si="13"/>
        <v>13</v>
      </c>
      <c r="B430" t="str">
        <f>"13.1099"</f>
        <v>13.1099</v>
      </c>
      <c r="C430" t="s">
        <v>8</v>
      </c>
      <c r="D430" t="s">
        <v>12</v>
      </c>
      <c r="E430" t="s">
        <v>1001</v>
      </c>
      <c r="F430" t="s">
        <v>1002</v>
      </c>
    </row>
    <row r="431" spans="1:7" x14ac:dyDescent="0.55000000000000004">
      <c r="A431" t="str">
        <f t="shared" si="13"/>
        <v>13</v>
      </c>
      <c r="B431" t="str">
        <f>"13.11"</f>
        <v>13.11</v>
      </c>
      <c r="C431" t="s">
        <v>8</v>
      </c>
      <c r="D431" t="s">
        <v>12</v>
      </c>
      <c r="E431" t="s">
        <v>1003</v>
      </c>
      <c r="F431" t="s">
        <v>1004</v>
      </c>
    </row>
    <row r="432" spans="1:7" x14ac:dyDescent="0.55000000000000004">
      <c r="A432" t="str">
        <f t="shared" si="13"/>
        <v>13</v>
      </c>
      <c r="B432" t="str">
        <f>"13.1101"</f>
        <v>13.1101</v>
      </c>
      <c r="C432" t="s">
        <v>8</v>
      </c>
      <c r="D432" t="s">
        <v>12</v>
      </c>
      <c r="E432" t="s">
        <v>1005</v>
      </c>
      <c r="F432" t="s">
        <v>1006</v>
      </c>
      <c r="G432" t="s">
        <v>1007</v>
      </c>
    </row>
    <row r="433" spans="1:8" x14ac:dyDescent="0.55000000000000004">
      <c r="A433" t="str">
        <f t="shared" si="13"/>
        <v>13</v>
      </c>
      <c r="B433" t="str">
        <f>"13.1102"</f>
        <v>13.1102</v>
      </c>
      <c r="C433" t="s">
        <v>8</v>
      </c>
      <c r="D433" t="s">
        <v>12</v>
      </c>
      <c r="E433" t="s">
        <v>1008</v>
      </c>
      <c r="F433" t="s">
        <v>1009</v>
      </c>
    </row>
    <row r="434" spans="1:8" x14ac:dyDescent="0.55000000000000004">
      <c r="A434" t="str">
        <f t="shared" si="13"/>
        <v>13</v>
      </c>
      <c r="B434" t="str">
        <f>"13.1199"</f>
        <v>13.1199</v>
      </c>
      <c r="C434" t="s">
        <v>8</v>
      </c>
      <c r="D434" t="s">
        <v>12</v>
      </c>
      <c r="E434" t="s">
        <v>1010</v>
      </c>
      <c r="F434" t="s">
        <v>1011</v>
      </c>
    </row>
    <row r="435" spans="1:8" x14ac:dyDescent="0.55000000000000004">
      <c r="A435" t="str">
        <f t="shared" si="13"/>
        <v>13</v>
      </c>
      <c r="B435" t="str">
        <f>"13.12"</f>
        <v>13.12</v>
      </c>
      <c r="C435" t="s">
        <v>8</v>
      </c>
      <c r="D435" t="s">
        <v>12</v>
      </c>
      <c r="E435" t="s">
        <v>1012</v>
      </c>
      <c r="F435" t="s">
        <v>1013</v>
      </c>
    </row>
    <row r="436" spans="1:8" x14ac:dyDescent="0.55000000000000004">
      <c r="A436" t="str">
        <f t="shared" si="13"/>
        <v>13</v>
      </c>
      <c r="B436" t="str">
        <f>"13.1201"</f>
        <v>13.1201</v>
      </c>
      <c r="C436" t="s">
        <v>8</v>
      </c>
      <c r="D436" t="s">
        <v>12</v>
      </c>
      <c r="E436" t="s">
        <v>1014</v>
      </c>
      <c r="F436" t="s">
        <v>1015</v>
      </c>
      <c r="H436" t="s">
        <v>1016</v>
      </c>
    </row>
    <row r="437" spans="1:8" x14ac:dyDescent="0.55000000000000004">
      <c r="A437" t="str">
        <f t="shared" si="13"/>
        <v>13</v>
      </c>
      <c r="B437" t="str">
        <f>"13.1202"</f>
        <v>13.1202</v>
      </c>
      <c r="C437" t="s">
        <v>8</v>
      </c>
      <c r="D437" t="s">
        <v>12</v>
      </c>
      <c r="E437" t="s">
        <v>1017</v>
      </c>
      <c r="F437" t="s">
        <v>1018</v>
      </c>
    </row>
    <row r="438" spans="1:8" x14ac:dyDescent="0.55000000000000004">
      <c r="A438" t="str">
        <f t="shared" si="13"/>
        <v>13</v>
      </c>
      <c r="B438" t="str">
        <f>"13.1203"</f>
        <v>13.1203</v>
      </c>
      <c r="C438" t="s">
        <v>8</v>
      </c>
      <c r="D438" t="s">
        <v>12</v>
      </c>
      <c r="E438" t="s">
        <v>1019</v>
      </c>
      <c r="F438" t="s">
        <v>1020</v>
      </c>
    </row>
    <row r="439" spans="1:8" x14ac:dyDescent="0.55000000000000004">
      <c r="A439" t="str">
        <f t="shared" ref="A439:A470" si="14">"13"</f>
        <v>13</v>
      </c>
      <c r="B439" t="str">
        <f>"13.1205"</f>
        <v>13.1205</v>
      </c>
      <c r="C439" t="s">
        <v>8</v>
      </c>
      <c r="D439" t="s">
        <v>12</v>
      </c>
      <c r="E439" t="s">
        <v>1021</v>
      </c>
      <c r="F439" t="s">
        <v>1022</v>
      </c>
    </row>
    <row r="440" spans="1:8" x14ac:dyDescent="0.55000000000000004">
      <c r="A440" t="str">
        <f t="shared" si="14"/>
        <v>13</v>
      </c>
      <c r="B440" t="str">
        <f>"13.1206"</f>
        <v>13.1206</v>
      </c>
      <c r="C440" t="s">
        <v>8</v>
      </c>
      <c r="D440" t="s">
        <v>12</v>
      </c>
      <c r="E440" t="s">
        <v>1023</v>
      </c>
      <c r="F440" t="s">
        <v>1024</v>
      </c>
    </row>
    <row r="441" spans="1:8" x14ac:dyDescent="0.55000000000000004">
      <c r="A441" t="str">
        <f t="shared" si="14"/>
        <v>13</v>
      </c>
      <c r="B441" t="str">
        <f>"13.1207"</f>
        <v>13.1207</v>
      </c>
      <c r="C441" t="s">
        <v>8</v>
      </c>
      <c r="D441" t="s">
        <v>12</v>
      </c>
      <c r="E441" t="s">
        <v>1025</v>
      </c>
      <c r="F441" t="s">
        <v>1026</v>
      </c>
    </row>
    <row r="442" spans="1:8" x14ac:dyDescent="0.55000000000000004">
      <c r="A442" t="str">
        <f t="shared" si="14"/>
        <v>13</v>
      </c>
      <c r="B442" t="str">
        <f>"13.1208"</f>
        <v>13.1208</v>
      </c>
      <c r="C442" t="s">
        <v>8</v>
      </c>
      <c r="D442" t="s">
        <v>12</v>
      </c>
      <c r="E442" t="s">
        <v>1027</v>
      </c>
      <c r="F442" t="s">
        <v>1028</v>
      </c>
    </row>
    <row r="443" spans="1:8" x14ac:dyDescent="0.55000000000000004">
      <c r="A443" t="str">
        <f t="shared" si="14"/>
        <v>13</v>
      </c>
      <c r="B443" t="str">
        <f>"13.1209"</f>
        <v>13.1209</v>
      </c>
      <c r="C443" t="s">
        <v>8</v>
      </c>
      <c r="D443" t="s">
        <v>12</v>
      </c>
      <c r="E443" t="s">
        <v>1029</v>
      </c>
      <c r="F443" t="s">
        <v>1030</v>
      </c>
    </row>
    <row r="444" spans="1:8" x14ac:dyDescent="0.55000000000000004">
      <c r="A444" t="str">
        <f t="shared" si="14"/>
        <v>13</v>
      </c>
      <c r="B444" t="str">
        <f>"13.1210"</f>
        <v>13.1210</v>
      </c>
      <c r="C444" t="s">
        <v>8</v>
      </c>
      <c r="D444" t="s">
        <v>12</v>
      </c>
      <c r="E444" t="s">
        <v>1031</v>
      </c>
      <c r="F444" t="s">
        <v>1032</v>
      </c>
      <c r="G444" t="s">
        <v>1033</v>
      </c>
      <c r="H444" t="s">
        <v>1034</v>
      </c>
    </row>
    <row r="445" spans="1:8" x14ac:dyDescent="0.55000000000000004">
      <c r="A445" t="str">
        <f t="shared" si="14"/>
        <v>13</v>
      </c>
      <c r="B445" t="str">
        <f>"13.1211"</f>
        <v>13.1211</v>
      </c>
      <c r="C445" t="s">
        <v>47</v>
      </c>
      <c r="D445" t="s">
        <v>12</v>
      </c>
      <c r="E445" t="s">
        <v>1035</v>
      </c>
      <c r="F445" t="s">
        <v>1036</v>
      </c>
    </row>
    <row r="446" spans="1:8" x14ac:dyDescent="0.55000000000000004">
      <c r="A446" t="str">
        <f t="shared" si="14"/>
        <v>13</v>
      </c>
      <c r="B446" t="str">
        <f>"13.1212"</f>
        <v>13.1212</v>
      </c>
      <c r="C446" t="s">
        <v>47</v>
      </c>
      <c r="D446" t="s">
        <v>12</v>
      </c>
      <c r="E446" t="s">
        <v>1037</v>
      </c>
      <c r="F446" t="s">
        <v>1038</v>
      </c>
    </row>
    <row r="447" spans="1:8" x14ac:dyDescent="0.55000000000000004">
      <c r="A447" t="str">
        <f t="shared" si="14"/>
        <v>13</v>
      </c>
      <c r="B447" t="str">
        <f>"13.1213"</f>
        <v>13.1213</v>
      </c>
      <c r="C447" t="s">
        <v>47</v>
      </c>
      <c r="D447" t="s">
        <v>12</v>
      </c>
      <c r="E447" t="s">
        <v>1039</v>
      </c>
      <c r="F447" t="s">
        <v>1040</v>
      </c>
      <c r="H447" t="s">
        <v>1041</v>
      </c>
    </row>
    <row r="448" spans="1:8" x14ac:dyDescent="0.55000000000000004">
      <c r="A448" t="str">
        <f t="shared" si="14"/>
        <v>13</v>
      </c>
      <c r="B448" t="str">
        <f>"13.1214"</f>
        <v>13.1214</v>
      </c>
      <c r="C448" t="s">
        <v>47</v>
      </c>
      <c r="D448" t="s">
        <v>12</v>
      </c>
      <c r="E448" t="s">
        <v>1042</v>
      </c>
      <c r="F448" t="s">
        <v>1043</v>
      </c>
      <c r="H448" t="s">
        <v>1044</v>
      </c>
    </row>
    <row r="449" spans="1:8" x14ac:dyDescent="0.55000000000000004">
      <c r="A449" t="str">
        <f t="shared" si="14"/>
        <v>13</v>
      </c>
      <c r="B449" t="str">
        <f>"13.1299"</f>
        <v>13.1299</v>
      </c>
      <c r="C449" t="s">
        <v>8</v>
      </c>
      <c r="D449" t="s">
        <v>12</v>
      </c>
      <c r="E449" t="s">
        <v>1045</v>
      </c>
      <c r="F449" t="s">
        <v>1046</v>
      </c>
    </row>
    <row r="450" spans="1:8" x14ac:dyDescent="0.55000000000000004">
      <c r="A450" t="str">
        <f t="shared" si="14"/>
        <v>13</v>
      </c>
      <c r="B450" t="str">
        <f>"13.13"</f>
        <v>13.13</v>
      </c>
      <c r="C450" t="s">
        <v>8</v>
      </c>
      <c r="D450" t="s">
        <v>12</v>
      </c>
      <c r="E450" t="s">
        <v>1047</v>
      </c>
      <c r="F450" t="s">
        <v>1048</v>
      </c>
    </row>
    <row r="451" spans="1:8" x14ac:dyDescent="0.55000000000000004">
      <c r="A451" t="str">
        <f t="shared" si="14"/>
        <v>13</v>
      </c>
      <c r="B451" t="str">
        <f>"13.1301"</f>
        <v>13.1301</v>
      </c>
      <c r="C451" t="s">
        <v>8</v>
      </c>
      <c r="D451" t="s">
        <v>12</v>
      </c>
      <c r="E451" t="s">
        <v>1049</v>
      </c>
      <c r="F451" t="s">
        <v>1050</v>
      </c>
      <c r="G451" t="s">
        <v>1051</v>
      </c>
    </row>
    <row r="452" spans="1:8" x14ac:dyDescent="0.55000000000000004">
      <c r="A452" t="str">
        <f t="shared" si="14"/>
        <v>13</v>
      </c>
      <c r="B452" t="str">
        <f>"13.1302"</f>
        <v>13.1302</v>
      </c>
      <c r="C452" t="s">
        <v>8</v>
      </c>
      <c r="D452" t="s">
        <v>12</v>
      </c>
      <c r="E452" t="s">
        <v>1052</v>
      </c>
      <c r="F452" t="s">
        <v>1053</v>
      </c>
    </row>
    <row r="453" spans="1:8" x14ac:dyDescent="0.55000000000000004">
      <c r="A453" t="str">
        <f t="shared" si="14"/>
        <v>13</v>
      </c>
      <c r="B453" t="str">
        <f>"13.1303"</f>
        <v>13.1303</v>
      </c>
      <c r="C453" t="s">
        <v>8</v>
      </c>
      <c r="D453" t="s">
        <v>9</v>
      </c>
      <c r="E453" t="s">
        <v>1054</v>
      </c>
      <c r="F453" t="s">
        <v>1055</v>
      </c>
      <c r="H453" t="s">
        <v>1056</v>
      </c>
    </row>
    <row r="454" spans="1:8" x14ac:dyDescent="0.55000000000000004">
      <c r="A454" t="str">
        <f t="shared" si="14"/>
        <v>13</v>
      </c>
      <c r="B454" t="str">
        <f>"13.1304"</f>
        <v>13.1304</v>
      </c>
      <c r="C454" t="s">
        <v>8</v>
      </c>
      <c r="D454" t="s">
        <v>12</v>
      </c>
      <c r="E454" t="s">
        <v>1057</v>
      </c>
      <c r="F454" t="s">
        <v>1058</v>
      </c>
    </row>
    <row r="455" spans="1:8" x14ac:dyDescent="0.55000000000000004">
      <c r="A455" t="str">
        <f t="shared" si="14"/>
        <v>13</v>
      </c>
      <c r="B455" t="str">
        <f>"13.1305"</f>
        <v>13.1305</v>
      </c>
      <c r="C455" t="s">
        <v>8</v>
      </c>
      <c r="D455" t="s">
        <v>12</v>
      </c>
      <c r="E455" t="s">
        <v>1059</v>
      </c>
      <c r="F455" t="s">
        <v>1060</v>
      </c>
    </row>
    <row r="456" spans="1:8" x14ac:dyDescent="0.55000000000000004">
      <c r="A456" t="str">
        <f t="shared" si="14"/>
        <v>13</v>
      </c>
      <c r="B456" t="str">
        <f>"13.1306"</f>
        <v>13.1306</v>
      </c>
      <c r="C456" t="s">
        <v>8</v>
      </c>
      <c r="D456" t="s">
        <v>12</v>
      </c>
      <c r="E456" t="s">
        <v>1061</v>
      </c>
      <c r="F456" t="s">
        <v>1062</v>
      </c>
    </row>
    <row r="457" spans="1:8" x14ac:dyDescent="0.55000000000000004">
      <c r="A457" t="str">
        <f t="shared" si="14"/>
        <v>13</v>
      </c>
      <c r="B457" t="str">
        <f>"13.1307"</f>
        <v>13.1307</v>
      </c>
      <c r="C457" t="s">
        <v>8</v>
      </c>
      <c r="D457" t="s">
        <v>12</v>
      </c>
      <c r="E457" t="s">
        <v>1063</v>
      </c>
      <c r="F457" t="s">
        <v>1064</v>
      </c>
    </row>
    <row r="458" spans="1:8" x14ac:dyDescent="0.55000000000000004">
      <c r="A458" t="str">
        <f t="shared" si="14"/>
        <v>13</v>
      </c>
      <c r="B458" t="str">
        <f>"13.1308"</f>
        <v>13.1308</v>
      </c>
      <c r="C458" t="s">
        <v>8</v>
      </c>
      <c r="D458" t="s">
        <v>12</v>
      </c>
      <c r="E458" t="s">
        <v>1065</v>
      </c>
      <c r="F458" t="s">
        <v>1066</v>
      </c>
      <c r="G458" t="s">
        <v>1067</v>
      </c>
    </row>
    <row r="459" spans="1:8" x14ac:dyDescent="0.55000000000000004">
      <c r="A459" t="str">
        <f t="shared" si="14"/>
        <v>13</v>
      </c>
      <c r="B459" t="str">
        <f>"13.1309"</f>
        <v>13.1309</v>
      </c>
      <c r="C459" t="s">
        <v>8</v>
      </c>
      <c r="D459" t="s">
        <v>12</v>
      </c>
      <c r="E459" t="s">
        <v>1068</v>
      </c>
      <c r="F459" t="s">
        <v>1069</v>
      </c>
    </row>
    <row r="460" spans="1:8" x14ac:dyDescent="0.55000000000000004">
      <c r="A460" t="str">
        <f t="shared" si="14"/>
        <v>13</v>
      </c>
      <c r="B460" t="str">
        <f>"13.1310"</f>
        <v>13.1310</v>
      </c>
      <c r="C460" t="s">
        <v>8</v>
      </c>
      <c r="D460" t="s">
        <v>12</v>
      </c>
      <c r="E460" t="s">
        <v>1070</v>
      </c>
      <c r="F460" t="s">
        <v>1071</v>
      </c>
    </row>
    <row r="461" spans="1:8" x14ac:dyDescent="0.55000000000000004">
      <c r="A461" t="str">
        <f t="shared" si="14"/>
        <v>13</v>
      </c>
      <c r="B461" t="str">
        <f>"13.1311"</f>
        <v>13.1311</v>
      </c>
      <c r="C461" t="s">
        <v>8</v>
      </c>
      <c r="D461" t="s">
        <v>12</v>
      </c>
      <c r="E461" t="s">
        <v>1072</v>
      </c>
      <c r="F461" t="s">
        <v>1073</v>
      </c>
      <c r="H461" t="s">
        <v>1074</v>
      </c>
    </row>
    <row r="462" spans="1:8" x14ac:dyDescent="0.55000000000000004">
      <c r="A462" t="str">
        <f t="shared" si="14"/>
        <v>13</v>
      </c>
      <c r="B462" t="str">
        <f>"13.1312"</f>
        <v>13.1312</v>
      </c>
      <c r="C462" t="s">
        <v>8</v>
      </c>
      <c r="D462" t="s">
        <v>12</v>
      </c>
      <c r="E462" t="s">
        <v>1075</v>
      </c>
      <c r="F462" t="s">
        <v>1076</v>
      </c>
    </row>
    <row r="463" spans="1:8" x14ac:dyDescent="0.55000000000000004">
      <c r="A463" t="str">
        <f t="shared" si="14"/>
        <v>13</v>
      </c>
      <c r="B463" t="str">
        <f>"13.1314"</f>
        <v>13.1314</v>
      </c>
      <c r="C463" t="s">
        <v>8</v>
      </c>
      <c r="D463" t="s">
        <v>12</v>
      </c>
      <c r="E463" t="s">
        <v>1077</v>
      </c>
      <c r="F463" t="s">
        <v>1078</v>
      </c>
    </row>
    <row r="464" spans="1:8" x14ac:dyDescent="0.55000000000000004">
      <c r="A464" t="str">
        <f t="shared" si="14"/>
        <v>13</v>
      </c>
      <c r="B464" t="str">
        <f>"13.1315"</f>
        <v>13.1315</v>
      </c>
      <c r="C464" t="s">
        <v>8</v>
      </c>
      <c r="D464" t="s">
        <v>12</v>
      </c>
      <c r="E464" t="s">
        <v>1079</v>
      </c>
      <c r="F464" t="s">
        <v>1080</v>
      </c>
    </row>
    <row r="465" spans="1:6" x14ac:dyDescent="0.55000000000000004">
      <c r="A465" t="str">
        <f t="shared" si="14"/>
        <v>13</v>
      </c>
      <c r="B465" t="str">
        <f>"13.1316"</f>
        <v>13.1316</v>
      </c>
      <c r="C465" t="s">
        <v>8</v>
      </c>
      <c r="D465" t="s">
        <v>12</v>
      </c>
      <c r="E465" t="s">
        <v>1081</v>
      </c>
      <c r="F465" t="s">
        <v>1082</v>
      </c>
    </row>
    <row r="466" spans="1:6" x14ac:dyDescent="0.55000000000000004">
      <c r="A466" t="str">
        <f t="shared" si="14"/>
        <v>13</v>
      </c>
      <c r="B466" t="str">
        <f>"13.1317"</f>
        <v>13.1317</v>
      </c>
      <c r="C466" t="s">
        <v>8</v>
      </c>
      <c r="D466" t="s">
        <v>12</v>
      </c>
      <c r="E466" t="s">
        <v>1083</v>
      </c>
      <c r="F466" t="s">
        <v>1084</v>
      </c>
    </row>
    <row r="467" spans="1:6" x14ac:dyDescent="0.55000000000000004">
      <c r="A467" t="str">
        <f t="shared" si="14"/>
        <v>13</v>
      </c>
      <c r="B467" t="str">
        <f>"13.1318"</f>
        <v>13.1318</v>
      </c>
      <c r="C467" t="s">
        <v>8</v>
      </c>
      <c r="D467" t="s">
        <v>12</v>
      </c>
      <c r="E467" t="s">
        <v>1085</v>
      </c>
      <c r="F467" t="s">
        <v>1086</v>
      </c>
    </row>
    <row r="468" spans="1:6" x14ac:dyDescent="0.55000000000000004">
      <c r="A468" t="str">
        <f t="shared" si="14"/>
        <v>13</v>
      </c>
      <c r="B468" t="str">
        <f>"13.1319"</f>
        <v>13.1319</v>
      </c>
      <c r="C468" t="s">
        <v>8</v>
      </c>
      <c r="D468" t="s">
        <v>12</v>
      </c>
      <c r="E468" t="s">
        <v>1087</v>
      </c>
      <c r="F468" t="s">
        <v>1088</v>
      </c>
    </row>
    <row r="469" spans="1:6" x14ac:dyDescent="0.55000000000000004">
      <c r="A469" t="str">
        <f t="shared" si="14"/>
        <v>13</v>
      </c>
      <c r="B469" t="str">
        <f>"13.1320"</f>
        <v>13.1320</v>
      </c>
      <c r="C469" t="s">
        <v>8</v>
      </c>
      <c r="D469" t="s">
        <v>12</v>
      </c>
      <c r="E469" t="s">
        <v>1089</v>
      </c>
      <c r="F469" t="s">
        <v>1090</v>
      </c>
    </row>
    <row r="470" spans="1:6" x14ac:dyDescent="0.55000000000000004">
      <c r="A470" t="str">
        <f t="shared" si="14"/>
        <v>13</v>
      </c>
      <c r="B470" t="str">
        <f>"13.1321"</f>
        <v>13.1321</v>
      </c>
      <c r="C470" t="s">
        <v>8</v>
      </c>
      <c r="D470" t="s">
        <v>12</v>
      </c>
      <c r="E470" t="s">
        <v>1091</v>
      </c>
      <c r="F470" t="s">
        <v>1092</v>
      </c>
    </row>
    <row r="471" spans="1:6" x14ac:dyDescent="0.55000000000000004">
      <c r="A471" t="str">
        <f t="shared" ref="A471:A498" si="15">"13"</f>
        <v>13</v>
      </c>
      <c r="B471" t="str">
        <f>"13.1322"</f>
        <v>13.1322</v>
      </c>
      <c r="C471" t="s">
        <v>8</v>
      </c>
      <c r="D471" t="s">
        <v>12</v>
      </c>
      <c r="E471" t="s">
        <v>1093</v>
      </c>
      <c r="F471" t="s">
        <v>1094</v>
      </c>
    </row>
    <row r="472" spans="1:6" x14ac:dyDescent="0.55000000000000004">
      <c r="A472" t="str">
        <f t="shared" si="15"/>
        <v>13</v>
      </c>
      <c r="B472" t="str">
        <f>"13.1323"</f>
        <v>13.1323</v>
      </c>
      <c r="C472" t="s">
        <v>8</v>
      </c>
      <c r="D472" t="s">
        <v>12</v>
      </c>
      <c r="E472" t="s">
        <v>1095</v>
      </c>
      <c r="F472" t="s">
        <v>1096</v>
      </c>
    </row>
    <row r="473" spans="1:6" x14ac:dyDescent="0.55000000000000004">
      <c r="A473" t="str">
        <f t="shared" si="15"/>
        <v>13</v>
      </c>
      <c r="B473" t="str">
        <f>"13.1324"</f>
        <v>13.1324</v>
      </c>
      <c r="C473" t="s">
        <v>8</v>
      </c>
      <c r="D473" t="s">
        <v>12</v>
      </c>
      <c r="E473" t="s">
        <v>1097</v>
      </c>
      <c r="F473" t="s">
        <v>1098</v>
      </c>
    </row>
    <row r="474" spans="1:6" x14ac:dyDescent="0.55000000000000004">
      <c r="A474" t="str">
        <f t="shared" si="15"/>
        <v>13</v>
      </c>
      <c r="B474" t="str">
        <f>"13.1325"</f>
        <v>13.1325</v>
      </c>
      <c r="C474" t="s">
        <v>8</v>
      </c>
      <c r="D474" t="s">
        <v>12</v>
      </c>
      <c r="E474" t="s">
        <v>1099</v>
      </c>
      <c r="F474" t="s">
        <v>1100</v>
      </c>
    </row>
    <row r="475" spans="1:6" x14ac:dyDescent="0.55000000000000004">
      <c r="A475" t="str">
        <f t="shared" si="15"/>
        <v>13</v>
      </c>
      <c r="B475" t="str">
        <f>"13.1326"</f>
        <v>13.1326</v>
      </c>
      <c r="C475" t="s">
        <v>8</v>
      </c>
      <c r="D475" t="s">
        <v>12</v>
      </c>
      <c r="E475" t="s">
        <v>1101</v>
      </c>
      <c r="F475" t="s">
        <v>1102</v>
      </c>
    </row>
    <row r="476" spans="1:6" x14ac:dyDescent="0.55000000000000004">
      <c r="A476" t="str">
        <f t="shared" si="15"/>
        <v>13</v>
      </c>
      <c r="B476" t="str">
        <f>"13.1327"</f>
        <v>13.1327</v>
      </c>
      <c r="C476" t="s">
        <v>8</v>
      </c>
      <c r="D476" t="s">
        <v>12</v>
      </c>
      <c r="E476" t="s">
        <v>1103</v>
      </c>
      <c r="F476" t="s">
        <v>1104</v>
      </c>
    </row>
    <row r="477" spans="1:6" x14ac:dyDescent="0.55000000000000004">
      <c r="A477" t="str">
        <f t="shared" si="15"/>
        <v>13</v>
      </c>
      <c r="B477" t="str">
        <f>"13.1328"</f>
        <v>13.1328</v>
      </c>
      <c r="C477" t="s">
        <v>8</v>
      </c>
      <c r="D477" t="s">
        <v>12</v>
      </c>
      <c r="E477" t="s">
        <v>1105</v>
      </c>
      <c r="F477" t="s">
        <v>1106</v>
      </c>
    </row>
    <row r="478" spans="1:6" x14ac:dyDescent="0.55000000000000004">
      <c r="A478" t="str">
        <f t="shared" si="15"/>
        <v>13</v>
      </c>
      <c r="B478" t="str">
        <f>"13.1329"</f>
        <v>13.1329</v>
      </c>
      <c r="C478" t="s">
        <v>8</v>
      </c>
      <c r="D478" t="s">
        <v>12</v>
      </c>
      <c r="E478" t="s">
        <v>1107</v>
      </c>
      <c r="F478" t="s">
        <v>1108</v>
      </c>
    </row>
    <row r="479" spans="1:6" x14ac:dyDescent="0.55000000000000004">
      <c r="A479" t="str">
        <f t="shared" si="15"/>
        <v>13</v>
      </c>
      <c r="B479" t="str">
        <f>"13.1330"</f>
        <v>13.1330</v>
      </c>
      <c r="C479" t="s">
        <v>8</v>
      </c>
      <c r="D479" t="s">
        <v>12</v>
      </c>
      <c r="E479" t="s">
        <v>1109</v>
      </c>
      <c r="F479" t="s">
        <v>1110</v>
      </c>
    </row>
    <row r="480" spans="1:6" x14ac:dyDescent="0.55000000000000004">
      <c r="A480" t="str">
        <f t="shared" si="15"/>
        <v>13</v>
      </c>
      <c r="B480" t="str">
        <f>"13.1331"</f>
        <v>13.1331</v>
      </c>
      <c r="C480" t="s">
        <v>8</v>
      </c>
      <c r="D480" t="s">
        <v>12</v>
      </c>
      <c r="E480" t="s">
        <v>1111</v>
      </c>
      <c r="F480" t="s">
        <v>1112</v>
      </c>
    </row>
    <row r="481" spans="1:8" x14ac:dyDescent="0.55000000000000004">
      <c r="A481" t="str">
        <f t="shared" si="15"/>
        <v>13</v>
      </c>
      <c r="B481" t="str">
        <f>"13.1332"</f>
        <v>13.1332</v>
      </c>
      <c r="C481" t="s">
        <v>8</v>
      </c>
      <c r="D481" t="s">
        <v>12</v>
      </c>
      <c r="E481" t="s">
        <v>1113</v>
      </c>
      <c r="F481" t="s">
        <v>1114</v>
      </c>
    </row>
    <row r="482" spans="1:8" x14ac:dyDescent="0.55000000000000004">
      <c r="A482" t="str">
        <f t="shared" si="15"/>
        <v>13</v>
      </c>
      <c r="B482" t="str">
        <f>"13.1333"</f>
        <v>13.1333</v>
      </c>
      <c r="C482" t="s">
        <v>8</v>
      </c>
      <c r="D482" t="s">
        <v>12</v>
      </c>
      <c r="E482" t="s">
        <v>1115</v>
      </c>
      <c r="F482" t="s">
        <v>1116</v>
      </c>
    </row>
    <row r="483" spans="1:8" x14ac:dyDescent="0.55000000000000004">
      <c r="A483" t="str">
        <f t="shared" si="15"/>
        <v>13</v>
      </c>
      <c r="B483" t="str">
        <f>"13.1334"</f>
        <v>13.1334</v>
      </c>
      <c r="C483" t="s">
        <v>8</v>
      </c>
      <c r="D483" t="s">
        <v>12</v>
      </c>
      <c r="E483" t="s">
        <v>1117</v>
      </c>
      <c r="F483" t="s">
        <v>1118</v>
      </c>
      <c r="G483" t="s">
        <v>1119</v>
      </c>
    </row>
    <row r="484" spans="1:8" x14ac:dyDescent="0.55000000000000004">
      <c r="A484" t="str">
        <f t="shared" si="15"/>
        <v>13</v>
      </c>
      <c r="B484" t="str">
        <f>"13.1335"</f>
        <v>13.1335</v>
      </c>
      <c r="C484" t="s">
        <v>8</v>
      </c>
      <c r="D484" t="s">
        <v>12</v>
      </c>
      <c r="E484" t="s">
        <v>1120</v>
      </c>
      <c r="F484" t="s">
        <v>1121</v>
      </c>
    </row>
    <row r="485" spans="1:8" x14ac:dyDescent="0.55000000000000004">
      <c r="A485" t="str">
        <f t="shared" si="15"/>
        <v>13</v>
      </c>
      <c r="B485" t="str">
        <f>"13.1337"</f>
        <v>13.1337</v>
      </c>
      <c r="C485" t="s">
        <v>8</v>
      </c>
      <c r="D485" t="s">
        <v>12</v>
      </c>
      <c r="E485" t="s">
        <v>1122</v>
      </c>
      <c r="F485" t="s">
        <v>1123</v>
      </c>
      <c r="H485" t="s">
        <v>1124</v>
      </c>
    </row>
    <row r="486" spans="1:8" x14ac:dyDescent="0.55000000000000004">
      <c r="A486" t="str">
        <f t="shared" si="15"/>
        <v>13</v>
      </c>
      <c r="B486" t="str">
        <f>"13.1338"</f>
        <v>13.1338</v>
      </c>
      <c r="C486" t="s">
        <v>8</v>
      </c>
      <c r="D486" t="s">
        <v>12</v>
      </c>
      <c r="E486" t="s">
        <v>1125</v>
      </c>
      <c r="F486" t="s">
        <v>1126</v>
      </c>
      <c r="G486" t="s">
        <v>1127</v>
      </c>
    </row>
    <row r="487" spans="1:8" x14ac:dyDescent="0.55000000000000004">
      <c r="A487" t="str">
        <f t="shared" si="15"/>
        <v>13</v>
      </c>
      <c r="B487" t="str">
        <f>"13.1339"</f>
        <v>13.1339</v>
      </c>
      <c r="C487" t="s">
        <v>47</v>
      </c>
      <c r="D487" t="s">
        <v>12</v>
      </c>
      <c r="E487" t="s">
        <v>1128</v>
      </c>
      <c r="F487" t="s">
        <v>1129</v>
      </c>
    </row>
    <row r="488" spans="1:8" x14ac:dyDescent="0.55000000000000004">
      <c r="A488" t="str">
        <f t="shared" si="15"/>
        <v>13</v>
      </c>
      <c r="B488" t="str">
        <f>"13.1399"</f>
        <v>13.1399</v>
      </c>
      <c r="C488" t="s">
        <v>8</v>
      </c>
      <c r="D488" t="s">
        <v>12</v>
      </c>
      <c r="E488" t="s">
        <v>1130</v>
      </c>
      <c r="F488" t="s">
        <v>1131</v>
      </c>
    </row>
    <row r="489" spans="1:8" x14ac:dyDescent="0.55000000000000004">
      <c r="A489" t="str">
        <f t="shared" si="15"/>
        <v>13</v>
      </c>
      <c r="B489" t="str">
        <f>"13.14"</f>
        <v>13.14</v>
      </c>
      <c r="C489" t="s">
        <v>8</v>
      </c>
      <c r="D489" t="s">
        <v>12</v>
      </c>
      <c r="E489" t="s">
        <v>1132</v>
      </c>
      <c r="F489" t="s">
        <v>1133</v>
      </c>
    </row>
    <row r="490" spans="1:8" x14ac:dyDescent="0.55000000000000004">
      <c r="A490" t="str">
        <f t="shared" si="15"/>
        <v>13</v>
      </c>
      <c r="B490" t="str">
        <f>"13.1401"</f>
        <v>13.1401</v>
      </c>
      <c r="C490" t="s">
        <v>8</v>
      </c>
      <c r="D490" t="s">
        <v>12</v>
      </c>
      <c r="E490" t="s">
        <v>1134</v>
      </c>
      <c r="F490" t="s">
        <v>1135</v>
      </c>
    </row>
    <row r="491" spans="1:8" x14ac:dyDescent="0.55000000000000004">
      <c r="A491" t="str">
        <f t="shared" si="15"/>
        <v>13</v>
      </c>
      <c r="B491" t="str">
        <f>"13.1402"</f>
        <v>13.1402</v>
      </c>
      <c r="C491" t="s">
        <v>8</v>
      </c>
      <c r="D491" t="s">
        <v>12</v>
      </c>
      <c r="E491" t="s">
        <v>1136</v>
      </c>
      <c r="F491" t="s">
        <v>1137</v>
      </c>
    </row>
    <row r="492" spans="1:8" x14ac:dyDescent="0.55000000000000004">
      <c r="A492" t="str">
        <f t="shared" si="15"/>
        <v>13</v>
      </c>
      <c r="B492" t="str">
        <f>"13.1499"</f>
        <v>13.1499</v>
      </c>
      <c r="C492" t="s">
        <v>8</v>
      </c>
      <c r="D492" t="s">
        <v>12</v>
      </c>
      <c r="E492" t="s">
        <v>1138</v>
      </c>
      <c r="F492" t="s">
        <v>1139</v>
      </c>
    </row>
    <row r="493" spans="1:8" x14ac:dyDescent="0.55000000000000004">
      <c r="A493" t="str">
        <f t="shared" si="15"/>
        <v>13</v>
      </c>
      <c r="B493" t="str">
        <f>"13.15"</f>
        <v>13.15</v>
      </c>
      <c r="C493" t="s">
        <v>8</v>
      </c>
      <c r="D493" t="s">
        <v>12</v>
      </c>
      <c r="E493" t="s">
        <v>1140</v>
      </c>
      <c r="F493" t="s">
        <v>1141</v>
      </c>
    </row>
    <row r="494" spans="1:8" x14ac:dyDescent="0.55000000000000004">
      <c r="A494" t="str">
        <f t="shared" si="15"/>
        <v>13</v>
      </c>
      <c r="B494" t="str">
        <f>"13.1501"</f>
        <v>13.1501</v>
      </c>
      <c r="C494" t="s">
        <v>8</v>
      </c>
      <c r="D494" t="s">
        <v>12</v>
      </c>
      <c r="E494" t="s">
        <v>1142</v>
      </c>
      <c r="F494" t="s">
        <v>1143</v>
      </c>
      <c r="G494" t="s">
        <v>1144</v>
      </c>
      <c r="H494" t="s">
        <v>1145</v>
      </c>
    </row>
    <row r="495" spans="1:8" x14ac:dyDescent="0.55000000000000004">
      <c r="A495" t="str">
        <f t="shared" si="15"/>
        <v>13</v>
      </c>
      <c r="B495" t="str">
        <f>"13.1502"</f>
        <v>13.1502</v>
      </c>
      <c r="C495" t="s">
        <v>8</v>
      </c>
      <c r="D495" t="s">
        <v>12</v>
      </c>
      <c r="E495" t="s">
        <v>1146</v>
      </c>
      <c r="F495" t="s">
        <v>1147</v>
      </c>
    </row>
    <row r="496" spans="1:8" x14ac:dyDescent="0.55000000000000004">
      <c r="A496" t="str">
        <f t="shared" si="15"/>
        <v>13</v>
      </c>
      <c r="B496" t="str">
        <f>"13.1599"</f>
        <v>13.1599</v>
      </c>
      <c r="C496" t="s">
        <v>8</v>
      </c>
      <c r="D496" t="s">
        <v>12</v>
      </c>
      <c r="E496" t="s">
        <v>1148</v>
      </c>
      <c r="F496" t="s">
        <v>1149</v>
      </c>
    </row>
    <row r="497" spans="1:8" x14ac:dyDescent="0.55000000000000004">
      <c r="A497" t="str">
        <f t="shared" si="15"/>
        <v>13</v>
      </c>
      <c r="B497" t="str">
        <f>"13.99"</f>
        <v>13.99</v>
      </c>
      <c r="C497" t="s">
        <v>8</v>
      </c>
      <c r="D497" t="s">
        <v>12</v>
      </c>
      <c r="E497" t="s">
        <v>1150</v>
      </c>
      <c r="F497" t="s">
        <v>1151</v>
      </c>
    </row>
    <row r="498" spans="1:8" x14ac:dyDescent="0.55000000000000004">
      <c r="A498" t="str">
        <f t="shared" si="15"/>
        <v>13</v>
      </c>
      <c r="B498" t="str">
        <f>"13.9999"</f>
        <v>13.9999</v>
      </c>
      <c r="C498" t="s">
        <v>8</v>
      </c>
      <c r="D498" t="s">
        <v>12</v>
      </c>
      <c r="E498" t="s">
        <v>1150</v>
      </c>
      <c r="F498" t="s">
        <v>1152</v>
      </c>
    </row>
    <row r="499" spans="1:8" x14ac:dyDescent="0.55000000000000004">
      <c r="A499" t="str">
        <f>"14"</f>
        <v>14</v>
      </c>
      <c r="B499" t="str">
        <f>"14"</f>
        <v>14</v>
      </c>
      <c r="C499" t="s">
        <v>8</v>
      </c>
      <c r="D499" t="s">
        <v>12</v>
      </c>
      <c r="E499" t="s">
        <v>1153</v>
      </c>
      <c r="F499" t="s">
        <v>1154</v>
      </c>
    </row>
    <row r="500" spans="1:8" x14ac:dyDescent="0.55000000000000004">
      <c r="A500" t="str">
        <f t="shared" ref="A500:A531" si="16">"14"</f>
        <v>14</v>
      </c>
      <c r="B500" t="str">
        <f>"14.01"</f>
        <v>14.01</v>
      </c>
      <c r="C500" t="s">
        <v>8</v>
      </c>
      <c r="D500" t="s">
        <v>12</v>
      </c>
      <c r="E500" t="s">
        <v>1155</v>
      </c>
      <c r="F500" t="s">
        <v>1156</v>
      </c>
    </row>
    <row r="501" spans="1:8" x14ac:dyDescent="0.55000000000000004">
      <c r="A501" t="str">
        <f t="shared" si="16"/>
        <v>14</v>
      </c>
      <c r="B501" t="str">
        <f>"14.0101"</f>
        <v>14.0101</v>
      </c>
      <c r="C501" t="s">
        <v>8</v>
      </c>
      <c r="D501" t="s">
        <v>12</v>
      </c>
      <c r="E501" t="s">
        <v>1155</v>
      </c>
      <c r="F501" t="s">
        <v>1157</v>
      </c>
    </row>
    <row r="502" spans="1:8" x14ac:dyDescent="0.55000000000000004">
      <c r="A502" t="str">
        <f t="shared" si="16"/>
        <v>14</v>
      </c>
      <c r="B502" t="str">
        <f>"14.0102"</f>
        <v>14.0102</v>
      </c>
      <c r="C502" t="s">
        <v>8</v>
      </c>
      <c r="D502" t="s">
        <v>12</v>
      </c>
      <c r="E502" t="s">
        <v>1158</v>
      </c>
      <c r="F502" t="s">
        <v>1159</v>
      </c>
      <c r="H502" t="s">
        <v>1160</v>
      </c>
    </row>
    <row r="503" spans="1:8" x14ac:dyDescent="0.55000000000000004">
      <c r="A503" t="str">
        <f t="shared" si="16"/>
        <v>14</v>
      </c>
      <c r="B503" t="str">
        <f>"14.0103"</f>
        <v>14.0103</v>
      </c>
      <c r="C503" t="s">
        <v>47</v>
      </c>
      <c r="D503" t="s">
        <v>12</v>
      </c>
      <c r="E503" t="s">
        <v>1161</v>
      </c>
      <c r="F503" t="s">
        <v>1162</v>
      </c>
    </row>
    <row r="504" spans="1:8" x14ac:dyDescent="0.55000000000000004">
      <c r="A504" t="str">
        <f t="shared" si="16"/>
        <v>14</v>
      </c>
      <c r="B504" t="str">
        <f>"14.02"</f>
        <v>14.02</v>
      </c>
      <c r="C504" t="s">
        <v>8</v>
      </c>
      <c r="D504" t="s">
        <v>9</v>
      </c>
      <c r="E504" t="s">
        <v>1163</v>
      </c>
      <c r="F504" t="s">
        <v>1164</v>
      </c>
    </row>
    <row r="505" spans="1:8" x14ac:dyDescent="0.55000000000000004">
      <c r="A505" t="str">
        <f t="shared" si="16"/>
        <v>14</v>
      </c>
      <c r="B505" t="str">
        <f>"14.0201"</f>
        <v>14.0201</v>
      </c>
      <c r="C505" t="s">
        <v>8</v>
      </c>
      <c r="D505" t="s">
        <v>9</v>
      </c>
      <c r="E505" t="s">
        <v>1165</v>
      </c>
      <c r="F505" t="s">
        <v>1166</v>
      </c>
      <c r="H505" t="s">
        <v>1167</v>
      </c>
    </row>
    <row r="506" spans="1:8" x14ac:dyDescent="0.55000000000000004">
      <c r="A506" t="str">
        <f t="shared" si="16"/>
        <v>14</v>
      </c>
      <c r="B506" t="str">
        <f>"14.0202"</f>
        <v>14.0202</v>
      </c>
      <c r="C506" t="s">
        <v>47</v>
      </c>
      <c r="D506" t="s">
        <v>12</v>
      </c>
      <c r="E506" t="s">
        <v>1168</v>
      </c>
      <c r="F506" t="s">
        <v>1169</v>
      </c>
    </row>
    <row r="507" spans="1:8" x14ac:dyDescent="0.55000000000000004">
      <c r="A507" t="str">
        <f t="shared" si="16"/>
        <v>14</v>
      </c>
      <c r="B507" t="str">
        <f>"14.0299"</f>
        <v>14.0299</v>
      </c>
      <c r="C507" t="s">
        <v>47</v>
      </c>
      <c r="D507" t="s">
        <v>12</v>
      </c>
      <c r="E507" t="s">
        <v>1170</v>
      </c>
      <c r="F507" t="s">
        <v>1171</v>
      </c>
    </row>
    <row r="508" spans="1:8" x14ac:dyDescent="0.55000000000000004">
      <c r="A508" t="str">
        <f t="shared" si="16"/>
        <v>14</v>
      </c>
      <c r="B508" t="str">
        <f>"14.03"</f>
        <v>14.03</v>
      </c>
      <c r="C508" t="s">
        <v>8</v>
      </c>
      <c r="D508" t="s">
        <v>12</v>
      </c>
      <c r="E508" t="s">
        <v>1172</v>
      </c>
      <c r="F508" t="s">
        <v>1173</v>
      </c>
    </row>
    <row r="509" spans="1:8" x14ac:dyDescent="0.55000000000000004">
      <c r="A509" t="str">
        <f t="shared" si="16"/>
        <v>14</v>
      </c>
      <c r="B509" t="str">
        <f>"14.0301"</f>
        <v>14.0301</v>
      </c>
      <c r="C509" t="s">
        <v>8</v>
      </c>
      <c r="D509" t="s">
        <v>12</v>
      </c>
      <c r="E509" t="s">
        <v>1172</v>
      </c>
      <c r="F509" t="s">
        <v>1174</v>
      </c>
      <c r="H509" t="s">
        <v>1175</v>
      </c>
    </row>
    <row r="510" spans="1:8" x14ac:dyDescent="0.55000000000000004">
      <c r="A510" t="str">
        <f t="shared" si="16"/>
        <v>14</v>
      </c>
      <c r="B510" t="str">
        <f>"14.04"</f>
        <v>14.04</v>
      </c>
      <c r="C510" t="s">
        <v>8</v>
      </c>
      <c r="D510" t="s">
        <v>12</v>
      </c>
      <c r="E510" t="s">
        <v>1176</v>
      </c>
      <c r="F510" t="s">
        <v>1177</v>
      </c>
    </row>
    <row r="511" spans="1:8" x14ac:dyDescent="0.55000000000000004">
      <c r="A511" t="str">
        <f t="shared" si="16"/>
        <v>14</v>
      </c>
      <c r="B511" t="str">
        <f>"14.0401"</f>
        <v>14.0401</v>
      </c>
      <c r="C511" t="s">
        <v>8</v>
      </c>
      <c r="D511" t="s">
        <v>12</v>
      </c>
      <c r="E511" t="s">
        <v>1176</v>
      </c>
      <c r="F511" t="s">
        <v>1178</v>
      </c>
      <c r="G511" t="s">
        <v>1179</v>
      </c>
    </row>
    <row r="512" spans="1:8" x14ac:dyDescent="0.55000000000000004">
      <c r="A512" t="str">
        <f t="shared" si="16"/>
        <v>14</v>
      </c>
      <c r="B512" t="str">
        <f>"14.05"</f>
        <v>14.05</v>
      </c>
      <c r="C512" t="s">
        <v>8</v>
      </c>
      <c r="D512" t="s">
        <v>12</v>
      </c>
      <c r="E512" t="s">
        <v>1180</v>
      </c>
      <c r="F512" t="s">
        <v>1181</v>
      </c>
    </row>
    <row r="513" spans="1:8" x14ac:dyDescent="0.55000000000000004">
      <c r="A513" t="str">
        <f t="shared" si="16"/>
        <v>14</v>
      </c>
      <c r="B513" t="str">
        <f>"14.0501"</f>
        <v>14.0501</v>
      </c>
      <c r="C513" t="s">
        <v>8</v>
      </c>
      <c r="D513" t="s">
        <v>12</v>
      </c>
      <c r="E513" t="s">
        <v>1182</v>
      </c>
      <c r="F513" t="s">
        <v>1183</v>
      </c>
      <c r="G513" t="s">
        <v>1184</v>
      </c>
      <c r="H513" t="s">
        <v>1185</v>
      </c>
    </row>
    <row r="514" spans="1:8" x14ac:dyDescent="0.55000000000000004">
      <c r="A514" t="str">
        <f t="shared" si="16"/>
        <v>14</v>
      </c>
      <c r="B514" t="str">
        <f>"14.06"</f>
        <v>14.06</v>
      </c>
      <c r="C514" t="s">
        <v>8</v>
      </c>
      <c r="D514" t="s">
        <v>12</v>
      </c>
      <c r="E514" t="s">
        <v>1186</v>
      </c>
      <c r="F514" t="s">
        <v>1187</v>
      </c>
    </row>
    <row r="515" spans="1:8" x14ac:dyDescent="0.55000000000000004">
      <c r="A515" t="str">
        <f t="shared" si="16"/>
        <v>14</v>
      </c>
      <c r="B515" t="str">
        <f>"14.0601"</f>
        <v>14.0601</v>
      </c>
      <c r="C515" t="s">
        <v>8</v>
      </c>
      <c r="D515" t="s">
        <v>12</v>
      </c>
      <c r="E515" t="s">
        <v>1186</v>
      </c>
      <c r="F515" t="s">
        <v>1188</v>
      </c>
      <c r="G515" t="s">
        <v>1189</v>
      </c>
    </row>
    <row r="516" spans="1:8" x14ac:dyDescent="0.55000000000000004">
      <c r="A516" t="str">
        <f t="shared" si="16"/>
        <v>14</v>
      </c>
      <c r="B516" t="str">
        <f>"14.07"</f>
        <v>14.07</v>
      </c>
      <c r="C516" t="s">
        <v>8</v>
      </c>
      <c r="D516" t="s">
        <v>12</v>
      </c>
      <c r="E516" t="s">
        <v>1190</v>
      </c>
      <c r="F516" t="s">
        <v>1191</v>
      </c>
    </row>
    <row r="517" spans="1:8" x14ac:dyDescent="0.55000000000000004">
      <c r="A517" t="str">
        <f t="shared" si="16"/>
        <v>14</v>
      </c>
      <c r="B517" t="str">
        <f>"14.0701"</f>
        <v>14.0701</v>
      </c>
      <c r="C517" t="s">
        <v>8</v>
      </c>
      <c r="D517" t="s">
        <v>12</v>
      </c>
      <c r="E517" t="s">
        <v>1190</v>
      </c>
      <c r="F517" t="s">
        <v>1192</v>
      </c>
      <c r="G517" t="s">
        <v>1193</v>
      </c>
    </row>
    <row r="518" spans="1:8" x14ac:dyDescent="0.55000000000000004">
      <c r="A518" t="str">
        <f t="shared" si="16"/>
        <v>14</v>
      </c>
      <c r="B518" t="str">
        <f>"14.0702"</f>
        <v>14.0702</v>
      </c>
      <c r="C518" t="s">
        <v>8</v>
      </c>
      <c r="D518" t="s">
        <v>12</v>
      </c>
      <c r="E518" t="s">
        <v>1194</v>
      </c>
      <c r="F518" t="s">
        <v>1195</v>
      </c>
    </row>
    <row r="519" spans="1:8" x14ac:dyDescent="0.55000000000000004">
      <c r="A519" t="str">
        <f t="shared" si="16"/>
        <v>14</v>
      </c>
      <c r="B519" t="str">
        <f>"14.0799"</f>
        <v>14.0799</v>
      </c>
      <c r="C519" t="s">
        <v>8</v>
      </c>
      <c r="D519" t="s">
        <v>12</v>
      </c>
      <c r="E519" t="s">
        <v>1196</v>
      </c>
      <c r="F519" t="s">
        <v>1197</v>
      </c>
    </row>
    <row r="520" spans="1:8" x14ac:dyDescent="0.55000000000000004">
      <c r="A520" t="str">
        <f t="shared" si="16"/>
        <v>14</v>
      </c>
      <c r="B520" t="str">
        <f>"14.08"</f>
        <v>14.08</v>
      </c>
      <c r="C520" t="s">
        <v>8</v>
      </c>
      <c r="D520" t="s">
        <v>12</v>
      </c>
      <c r="E520" t="s">
        <v>1198</v>
      </c>
      <c r="F520" t="s">
        <v>1199</v>
      </c>
    </row>
    <row r="521" spans="1:8" x14ac:dyDescent="0.55000000000000004">
      <c r="A521" t="str">
        <f t="shared" si="16"/>
        <v>14</v>
      </c>
      <c r="B521" t="str">
        <f>"14.0801"</f>
        <v>14.0801</v>
      </c>
      <c r="C521" t="s">
        <v>8</v>
      </c>
      <c r="D521" t="s">
        <v>12</v>
      </c>
      <c r="E521" t="s">
        <v>1200</v>
      </c>
      <c r="F521" t="s">
        <v>1201</v>
      </c>
    </row>
    <row r="522" spans="1:8" x14ac:dyDescent="0.55000000000000004">
      <c r="A522" t="str">
        <f t="shared" si="16"/>
        <v>14</v>
      </c>
      <c r="B522" t="str">
        <f>"14.0802"</f>
        <v>14.0802</v>
      </c>
      <c r="C522" t="s">
        <v>8</v>
      </c>
      <c r="D522" t="s">
        <v>12</v>
      </c>
      <c r="E522" t="s">
        <v>1202</v>
      </c>
      <c r="F522" t="s">
        <v>1203</v>
      </c>
      <c r="H522" t="s">
        <v>1204</v>
      </c>
    </row>
    <row r="523" spans="1:8" x14ac:dyDescent="0.55000000000000004">
      <c r="A523" t="str">
        <f t="shared" si="16"/>
        <v>14</v>
      </c>
      <c r="B523" t="str">
        <f>"14.0803"</f>
        <v>14.0803</v>
      </c>
      <c r="C523" t="s">
        <v>8</v>
      </c>
      <c r="D523" t="s">
        <v>12</v>
      </c>
      <c r="E523" t="s">
        <v>1205</v>
      </c>
      <c r="F523" t="s">
        <v>1206</v>
      </c>
    </row>
    <row r="524" spans="1:8" x14ac:dyDescent="0.55000000000000004">
      <c r="A524" t="str">
        <f t="shared" si="16"/>
        <v>14</v>
      </c>
      <c r="B524" t="str">
        <f>"14.0804"</f>
        <v>14.0804</v>
      </c>
      <c r="C524" t="s">
        <v>8</v>
      </c>
      <c r="D524" t="s">
        <v>12</v>
      </c>
      <c r="E524" t="s">
        <v>1207</v>
      </c>
      <c r="F524" t="s">
        <v>1208</v>
      </c>
    </row>
    <row r="525" spans="1:8" x14ac:dyDescent="0.55000000000000004">
      <c r="A525" t="str">
        <f t="shared" si="16"/>
        <v>14</v>
      </c>
      <c r="B525" t="str">
        <f>"14.0805"</f>
        <v>14.0805</v>
      </c>
      <c r="C525" t="s">
        <v>8</v>
      </c>
      <c r="D525" t="s">
        <v>12</v>
      </c>
      <c r="E525" t="s">
        <v>1209</v>
      </c>
      <c r="F525" t="s">
        <v>1210</v>
      </c>
      <c r="G525" t="s">
        <v>1211</v>
      </c>
    </row>
    <row r="526" spans="1:8" x14ac:dyDescent="0.55000000000000004">
      <c r="A526" t="str">
        <f t="shared" si="16"/>
        <v>14</v>
      </c>
      <c r="B526" t="str">
        <f>"14.0899"</f>
        <v>14.0899</v>
      </c>
      <c r="C526" t="s">
        <v>8</v>
      </c>
      <c r="D526" t="s">
        <v>12</v>
      </c>
      <c r="E526" t="s">
        <v>1212</v>
      </c>
      <c r="F526" t="s">
        <v>1213</v>
      </c>
    </row>
    <row r="527" spans="1:8" x14ac:dyDescent="0.55000000000000004">
      <c r="A527" t="str">
        <f t="shared" si="16"/>
        <v>14</v>
      </c>
      <c r="B527" t="str">
        <f>"14.09"</f>
        <v>14.09</v>
      </c>
      <c r="C527" t="s">
        <v>8</v>
      </c>
      <c r="D527" t="s">
        <v>12</v>
      </c>
      <c r="E527" t="s">
        <v>1214</v>
      </c>
      <c r="F527" t="s">
        <v>1215</v>
      </c>
    </row>
    <row r="528" spans="1:8" x14ac:dyDescent="0.55000000000000004">
      <c r="A528" t="str">
        <f t="shared" si="16"/>
        <v>14</v>
      </c>
      <c r="B528" t="str">
        <f>"14.0901"</f>
        <v>14.0901</v>
      </c>
      <c r="C528" t="s">
        <v>8</v>
      </c>
      <c r="D528" t="s">
        <v>12</v>
      </c>
      <c r="E528" t="s">
        <v>1216</v>
      </c>
      <c r="F528" t="s">
        <v>1217</v>
      </c>
      <c r="G528" t="s">
        <v>1218</v>
      </c>
      <c r="H528" t="s">
        <v>1219</v>
      </c>
    </row>
    <row r="529" spans="1:8" x14ac:dyDescent="0.55000000000000004">
      <c r="A529" t="str">
        <f t="shared" si="16"/>
        <v>14</v>
      </c>
      <c r="B529" t="str">
        <f>"14.0902"</f>
        <v>14.0902</v>
      </c>
      <c r="C529" t="s">
        <v>8</v>
      </c>
      <c r="D529" t="s">
        <v>12</v>
      </c>
      <c r="E529" t="s">
        <v>1220</v>
      </c>
      <c r="F529" t="s">
        <v>1221</v>
      </c>
    </row>
    <row r="530" spans="1:8" x14ac:dyDescent="0.55000000000000004">
      <c r="A530" t="str">
        <f t="shared" si="16"/>
        <v>14</v>
      </c>
      <c r="B530" t="str">
        <f>"14.0903"</f>
        <v>14.0903</v>
      </c>
      <c r="C530" t="s">
        <v>8</v>
      </c>
      <c r="D530" t="s">
        <v>12</v>
      </c>
      <c r="E530" t="s">
        <v>1222</v>
      </c>
      <c r="F530" t="s">
        <v>1223</v>
      </c>
    </row>
    <row r="531" spans="1:8" x14ac:dyDescent="0.55000000000000004">
      <c r="A531" t="str">
        <f t="shared" si="16"/>
        <v>14</v>
      </c>
      <c r="B531" t="str">
        <f>"14.0999"</f>
        <v>14.0999</v>
      </c>
      <c r="C531" t="s">
        <v>8</v>
      </c>
      <c r="D531" t="s">
        <v>12</v>
      </c>
      <c r="E531" t="s">
        <v>1224</v>
      </c>
      <c r="F531" t="s">
        <v>1225</v>
      </c>
      <c r="H531" t="s">
        <v>1226</v>
      </c>
    </row>
    <row r="532" spans="1:8" x14ac:dyDescent="0.55000000000000004">
      <c r="A532" t="str">
        <f t="shared" ref="A532:A563" si="17">"14"</f>
        <v>14</v>
      </c>
      <c r="B532" t="str">
        <f>"14.10"</f>
        <v>14.10</v>
      </c>
      <c r="C532" t="s">
        <v>8</v>
      </c>
      <c r="D532" t="s">
        <v>12</v>
      </c>
      <c r="E532" t="s">
        <v>1227</v>
      </c>
      <c r="F532" t="s">
        <v>1228</v>
      </c>
    </row>
    <row r="533" spans="1:8" x14ac:dyDescent="0.55000000000000004">
      <c r="A533" t="str">
        <f t="shared" si="17"/>
        <v>14</v>
      </c>
      <c r="B533" t="str">
        <f>"14.1001"</f>
        <v>14.1001</v>
      </c>
      <c r="C533" t="s">
        <v>8</v>
      </c>
      <c r="D533" t="s">
        <v>12</v>
      </c>
      <c r="E533" t="s">
        <v>1229</v>
      </c>
      <c r="F533" t="s">
        <v>1230</v>
      </c>
      <c r="H533" t="s">
        <v>1231</v>
      </c>
    </row>
    <row r="534" spans="1:8" x14ac:dyDescent="0.55000000000000004">
      <c r="A534" t="str">
        <f t="shared" si="17"/>
        <v>14</v>
      </c>
      <c r="B534" t="str">
        <f>"14.1003"</f>
        <v>14.1003</v>
      </c>
      <c r="C534" t="s">
        <v>8</v>
      </c>
      <c r="D534" t="s">
        <v>12</v>
      </c>
      <c r="E534" t="s">
        <v>1232</v>
      </c>
      <c r="F534" t="s">
        <v>1233</v>
      </c>
      <c r="G534" t="s">
        <v>1234</v>
      </c>
      <c r="H534" t="s">
        <v>1235</v>
      </c>
    </row>
    <row r="535" spans="1:8" x14ac:dyDescent="0.55000000000000004">
      <c r="A535" t="str">
        <f t="shared" si="17"/>
        <v>14</v>
      </c>
      <c r="B535" t="str">
        <f>"14.1004"</f>
        <v>14.1004</v>
      </c>
      <c r="C535" t="s">
        <v>8</v>
      </c>
      <c r="D535" t="s">
        <v>12</v>
      </c>
      <c r="E535" t="s">
        <v>1236</v>
      </c>
      <c r="F535" t="s">
        <v>1237</v>
      </c>
      <c r="H535" t="s">
        <v>1238</v>
      </c>
    </row>
    <row r="536" spans="1:8" x14ac:dyDescent="0.55000000000000004">
      <c r="A536" t="str">
        <f t="shared" si="17"/>
        <v>14</v>
      </c>
      <c r="B536" t="str">
        <f>"14.1099"</f>
        <v>14.1099</v>
      </c>
      <c r="C536" t="s">
        <v>8</v>
      </c>
      <c r="D536" t="s">
        <v>12</v>
      </c>
      <c r="E536" t="s">
        <v>1239</v>
      </c>
      <c r="F536" t="s">
        <v>1240</v>
      </c>
    </row>
    <row r="537" spans="1:8" x14ac:dyDescent="0.55000000000000004">
      <c r="A537" t="str">
        <f t="shared" si="17"/>
        <v>14</v>
      </c>
      <c r="B537" t="str">
        <f>"14.11"</f>
        <v>14.11</v>
      </c>
      <c r="C537" t="s">
        <v>8</v>
      </c>
      <c r="D537" t="s">
        <v>12</v>
      </c>
      <c r="E537" t="s">
        <v>1241</v>
      </c>
      <c r="F537" t="s">
        <v>1242</v>
      </c>
    </row>
    <row r="538" spans="1:8" x14ac:dyDescent="0.55000000000000004">
      <c r="A538" t="str">
        <f t="shared" si="17"/>
        <v>14</v>
      </c>
      <c r="B538" t="str">
        <f>"14.1101"</f>
        <v>14.1101</v>
      </c>
      <c r="C538" t="s">
        <v>8</v>
      </c>
      <c r="D538" t="s">
        <v>12</v>
      </c>
      <c r="E538" t="s">
        <v>1241</v>
      </c>
      <c r="F538" t="s">
        <v>1243</v>
      </c>
    </row>
    <row r="539" spans="1:8" x14ac:dyDescent="0.55000000000000004">
      <c r="A539" t="str">
        <f t="shared" si="17"/>
        <v>14</v>
      </c>
      <c r="B539" t="str">
        <f>"14.12"</f>
        <v>14.12</v>
      </c>
      <c r="C539" t="s">
        <v>8</v>
      </c>
      <c r="D539" t="s">
        <v>12</v>
      </c>
      <c r="E539" t="s">
        <v>1244</v>
      </c>
      <c r="F539" t="s">
        <v>1245</v>
      </c>
    </row>
    <row r="540" spans="1:8" x14ac:dyDescent="0.55000000000000004">
      <c r="A540" t="str">
        <f t="shared" si="17"/>
        <v>14</v>
      </c>
      <c r="B540" t="str">
        <f>"14.1201"</f>
        <v>14.1201</v>
      </c>
      <c r="C540" t="s">
        <v>8</v>
      </c>
      <c r="D540" t="s">
        <v>12</v>
      </c>
      <c r="E540" t="s">
        <v>1246</v>
      </c>
      <c r="F540" t="s">
        <v>1247</v>
      </c>
      <c r="G540" t="s">
        <v>1248</v>
      </c>
      <c r="H540" t="s">
        <v>1249</v>
      </c>
    </row>
    <row r="541" spans="1:8" x14ac:dyDescent="0.55000000000000004">
      <c r="A541" t="str">
        <f t="shared" si="17"/>
        <v>14</v>
      </c>
      <c r="B541" t="str">
        <f>"14.13"</f>
        <v>14.13</v>
      </c>
      <c r="C541" t="s">
        <v>8</v>
      </c>
      <c r="D541" t="s">
        <v>12</v>
      </c>
      <c r="E541" t="s">
        <v>1250</v>
      </c>
      <c r="F541" t="s">
        <v>1251</v>
      </c>
    </row>
    <row r="542" spans="1:8" x14ac:dyDescent="0.55000000000000004">
      <c r="A542" t="str">
        <f t="shared" si="17"/>
        <v>14</v>
      </c>
      <c r="B542" t="str">
        <f>"14.1301"</f>
        <v>14.1301</v>
      </c>
      <c r="C542" t="s">
        <v>8</v>
      </c>
      <c r="D542" t="s">
        <v>9</v>
      </c>
      <c r="E542" t="s">
        <v>1250</v>
      </c>
      <c r="F542" t="s">
        <v>1252</v>
      </c>
    </row>
    <row r="543" spans="1:8" x14ac:dyDescent="0.55000000000000004">
      <c r="A543" t="str">
        <f t="shared" si="17"/>
        <v>14</v>
      </c>
      <c r="B543" t="str">
        <f>"14.14"</f>
        <v>14.14</v>
      </c>
      <c r="C543" t="s">
        <v>8</v>
      </c>
      <c r="D543" t="s">
        <v>12</v>
      </c>
      <c r="E543" t="s">
        <v>1253</v>
      </c>
      <c r="F543" t="s">
        <v>1254</v>
      </c>
    </row>
    <row r="544" spans="1:8" x14ac:dyDescent="0.55000000000000004">
      <c r="A544" t="str">
        <f t="shared" si="17"/>
        <v>14</v>
      </c>
      <c r="B544" t="str">
        <f>"14.1401"</f>
        <v>14.1401</v>
      </c>
      <c r="C544" t="s">
        <v>8</v>
      </c>
      <c r="D544" t="s">
        <v>12</v>
      </c>
      <c r="E544" t="s">
        <v>1253</v>
      </c>
      <c r="F544" t="s">
        <v>1255</v>
      </c>
      <c r="G544" t="s">
        <v>1256</v>
      </c>
      <c r="H544" t="s">
        <v>1257</v>
      </c>
    </row>
    <row r="545" spans="1:8" x14ac:dyDescent="0.55000000000000004">
      <c r="A545" t="str">
        <f t="shared" si="17"/>
        <v>14</v>
      </c>
      <c r="B545" t="str">
        <f>"14.18"</f>
        <v>14.18</v>
      </c>
      <c r="C545" t="s">
        <v>8</v>
      </c>
      <c r="D545" t="s">
        <v>9</v>
      </c>
      <c r="E545" t="s">
        <v>1258</v>
      </c>
      <c r="F545" t="s">
        <v>1259</v>
      </c>
    </row>
    <row r="546" spans="1:8" x14ac:dyDescent="0.55000000000000004">
      <c r="A546" t="str">
        <f t="shared" si="17"/>
        <v>14</v>
      </c>
      <c r="B546" t="str">
        <f>"14.1801"</f>
        <v>14.1801</v>
      </c>
      <c r="C546" t="s">
        <v>8</v>
      </c>
      <c r="D546" t="s">
        <v>12</v>
      </c>
      <c r="E546" t="s">
        <v>1258</v>
      </c>
      <c r="F546" t="s">
        <v>1260</v>
      </c>
      <c r="G546" t="s">
        <v>1261</v>
      </c>
      <c r="H546" t="s">
        <v>1262</v>
      </c>
    </row>
    <row r="547" spans="1:8" x14ac:dyDescent="0.55000000000000004">
      <c r="A547" t="str">
        <f t="shared" si="17"/>
        <v>14</v>
      </c>
      <c r="B547" t="str">
        <f>"14.19"</f>
        <v>14.19</v>
      </c>
      <c r="C547" t="s">
        <v>8</v>
      </c>
      <c r="D547" t="s">
        <v>12</v>
      </c>
      <c r="E547" t="s">
        <v>1263</v>
      </c>
      <c r="F547" t="s">
        <v>1264</v>
      </c>
    </row>
    <row r="548" spans="1:8" x14ac:dyDescent="0.55000000000000004">
      <c r="A548" t="str">
        <f t="shared" si="17"/>
        <v>14</v>
      </c>
      <c r="B548" t="str">
        <f>"14.1901"</f>
        <v>14.1901</v>
      </c>
      <c r="C548" t="s">
        <v>8</v>
      </c>
      <c r="D548" t="s">
        <v>12</v>
      </c>
      <c r="E548" t="s">
        <v>1263</v>
      </c>
      <c r="F548" t="s">
        <v>1265</v>
      </c>
    </row>
    <row r="549" spans="1:8" x14ac:dyDescent="0.55000000000000004">
      <c r="A549" t="str">
        <f t="shared" si="17"/>
        <v>14</v>
      </c>
      <c r="B549" t="str">
        <f>"14.20"</f>
        <v>14.20</v>
      </c>
      <c r="C549" t="s">
        <v>8</v>
      </c>
      <c r="D549" t="s">
        <v>12</v>
      </c>
      <c r="E549" t="s">
        <v>1266</v>
      </c>
      <c r="F549" t="s">
        <v>1267</v>
      </c>
    </row>
    <row r="550" spans="1:8" x14ac:dyDescent="0.55000000000000004">
      <c r="A550" t="str">
        <f t="shared" si="17"/>
        <v>14</v>
      </c>
      <c r="B550" t="str">
        <f>"14.2001"</f>
        <v>14.2001</v>
      </c>
      <c r="C550" t="s">
        <v>8</v>
      </c>
      <c r="D550" t="s">
        <v>12</v>
      </c>
      <c r="E550" t="s">
        <v>1266</v>
      </c>
      <c r="F550" t="s">
        <v>1268</v>
      </c>
    </row>
    <row r="551" spans="1:8" x14ac:dyDescent="0.55000000000000004">
      <c r="A551" t="str">
        <f t="shared" si="17"/>
        <v>14</v>
      </c>
      <c r="B551" t="str">
        <f>"14.21"</f>
        <v>14.21</v>
      </c>
      <c r="C551" t="s">
        <v>8</v>
      </c>
      <c r="D551" t="s">
        <v>12</v>
      </c>
      <c r="E551" t="s">
        <v>1269</v>
      </c>
      <c r="F551" t="s">
        <v>1270</v>
      </c>
    </row>
    <row r="552" spans="1:8" x14ac:dyDescent="0.55000000000000004">
      <c r="A552" t="str">
        <f t="shared" si="17"/>
        <v>14</v>
      </c>
      <c r="B552" t="str">
        <f>"14.2101"</f>
        <v>14.2101</v>
      </c>
      <c r="C552" t="s">
        <v>8</v>
      </c>
      <c r="D552" t="s">
        <v>12</v>
      </c>
      <c r="E552" t="s">
        <v>1269</v>
      </c>
      <c r="F552" t="s">
        <v>1271</v>
      </c>
    </row>
    <row r="553" spans="1:8" x14ac:dyDescent="0.55000000000000004">
      <c r="A553" t="str">
        <f t="shared" si="17"/>
        <v>14</v>
      </c>
      <c r="B553" t="str">
        <f>"14.22"</f>
        <v>14.22</v>
      </c>
      <c r="C553" t="s">
        <v>8</v>
      </c>
      <c r="D553" t="s">
        <v>12</v>
      </c>
      <c r="E553" t="s">
        <v>1272</v>
      </c>
      <c r="F553" t="s">
        <v>1273</v>
      </c>
    </row>
    <row r="554" spans="1:8" x14ac:dyDescent="0.55000000000000004">
      <c r="A554" t="str">
        <f t="shared" si="17"/>
        <v>14</v>
      </c>
      <c r="B554" t="str">
        <f>"14.2201"</f>
        <v>14.2201</v>
      </c>
      <c r="C554" t="s">
        <v>8</v>
      </c>
      <c r="D554" t="s">
        <v>12</v>
      </c>
      <c r="E554" t="s">
        <v>1272</v>
      </c>
      <c r="F554" t="s">
        <v>1274</v>
      </c>
    </row>
    <row r="555" spans="1:8" x14ac:dyDescent="0.55000000000000004">
      <c r="A555" t="str">
        <f t="shared" si="17"/>
        <v>14</v>
      </c>
      <c r="B555" t="str">
        <f>"14.23"</f>
        <v>14.23</v>
      </c>
      <c r="C555" t="s">
        <v>8</v>
      </c>
      <c r="D555" t="s">
        <v>12</v>
      </c>
      <c r="E555" t="s">
        <v>1275</v>
      </c>
      <c r="F555" t="s">
        <v>1276</v>
      </c>
    </row>
    <row r="556" spans="1:8" x14ac:dyDescent="0.55000000000000004">
      <c r="A556" t="str">
        <f t="shared" si="17"/>
        <v>14</v>
      </c>
      <c r="B556" t="str">
        <f>"14.2301"</f>
        <v>14.2301</v>
      </c>
      <c r="C556" t="s">
        <v>8</v>
      </c>
      <c r="D556" t="s">
        <v>12</v>
      </c>
      <c r="E556" t="s">
        <v>1275</v>
      </c>
      <c r="F556" t="s">
        <v>1277</v>
      </c>
      <c r="G556" t="s">
        <v>1278</v>
      </c>
      <c r="H556" t="s">
        <v>1279</v>
      </c>
    </row>
    <row r="557" spans="1:8" x14ac:dyDescent="0.55000000000000004">
      <c r="A557" t="str">
        <f t="shared" si="17"/>
        <v>14</v>
      </c>
      <c r="B557" t="str">
        <f>"14.24"</f>
        <v>14.24</v>
      </c>
      <c r="C557" t="s">
        <v>8</v>
      </c>
      <c r="D557" t="s">
        <v>12</v>
      </c>
      <c r="E557" t="s">
        <v>1280</v>
      </c>
      <c r="F557" t="s">
        <v>1281</v>
      </c>
    </row>
    <row r="558" spans="1:8" x14ac:dyDescent="0.55000000000000004">
      <c r="A558" t="str">
        <f t="shared" si="17"/>
        <v>14</v>
      </c>
      <c r="B558" t="str">
        <f>"14.2401"</f>
        <v>14.2401</v>
      </c>
      <c r="C558" t="s">
        <v>8</v>
      </c>
      <c r="D558" t="s">
        <v>12</v>
      </c>
      <c r="E558" t="s">
        <v>1280</v>
      </c>
      <c r="F558" t="s">
        <v>1282</v>
      </c>
    </row>
    <row r="559" spans="1:8" x14ac:dyDescent="0.55000000000000004">
      <c r="A559" t="str">
        <f t="shared" si="17"/>
        <v>14</v>
      </c>
      <c r="B559" t="str">
        <f>"14.25"</f>
        <v>14.25</v>
      </c>
      <c r="C559" t="s">
        <v>8</v>
      </c>
      <c r="D559" t="s">
        <v>12</v>
      </c>
      <c r="E559" t="s">
        <v>1283</v>
      </c>
      <c r="F559" t="s">
        <v>1284</v>
      </c>
    </row>
    <row r="560" spans="1:8" x14ac:dyDescent="0.55000000000000004">
      <c r="A560" t="str">
        <f t="shared" si="17"/>
        <v>14</v>
      </c>
      <c r="B560" t="str">
        <f>"14.2501"</f>
        <v>14.2501</v>
      </c>
      <c r="C560" t="s">
        <v>8</v>
      </c>
      <c r="D560" t="s">
        <v>12</v>
      </c>
      <c r="E560" t="s">
        <v>1283</v>
      </c>
      <c r="F560" t="s">
        <v>1285</v>
      </c>
    </row>
    <row r="561" spans="1:8" x14ac:dyDescent="0.55000000000000004">
      <c r="A561" t="str">
        <f t="shared" si="17"/>
        <v>14</v>
      </c>
      <c r="B561" t="str">
        <f>"14.27"</f>
        <v>14.27</v>
      </c>
      <c r="C561" t="s">
        <v>8</v>
      </c>
      <c r="D561" t="s">
        <v>12</v>
      </c>
      <c r="E561" t="s">
        <v>1286</v>
      </c>
      <c r="F561" t="s">
        <v>1287</v>
      </c>
    </row>
    <row r="562" spans="1:8" x14ac:dyDescent="0.55000000000000004">
      <c r="A562" t="str">
        <f t="shared" si="17"/>
        <v>14</v>
      </c>
      <c r="B562" t="str">
        <f>"14.2701"</f>
        <v>14.2701</v>
      </c>
      <c r="C562" t="s">
        <v>8</v>
      </c>
      <c r="D562" t="s">
        <v>12</v>
      </c>
      <c r="E562" t="s">
        <v>1286</v>
      </c>
      <c r="F562" t="s">
        <v>1288</v>
      </c>
      <c r="G562" t="s">
        <v>1289</v>
      </c>
      <c r="H562" t="s">
        <v>1290</v>
      </c>
    </row>
    <row r="563" spans="1:8" x14ac:dyDescent="0.55000000000000004">
      <c r="A563" t="str">
        <f t="shared" si="17"/>
        <v>14</v>
      </c>
      <c r="B563" t="str">
        <f>"14.28"</f>
        <v>14.28</v>
      </c>
      <c r="C563" t="s">
        <v>8</v>
      </c>
      <c r="D563" t="s">
        <v>12</v>
      </c>
      <c r="E563" t="s">
        <v>1291</v>
      </c>
      <c r="F563" t="s">
        <v>1292</v>
      </c>
    </row>
    <row r="564" spans="1:8" x14ac:dyDescent="0.55000000000000004">
      <c r="A564" t="str">
        <f t="shared" ref="A564:A600" si="18">"14"</f>
        <v>14</v>
      </c>
      <c r="B564" t="str">
        <f>"14.2801"</f>
        <v>14.2801</v>
      </c>
      <c r="C564" t="s">
        <v>8</v>
      </c>
      <c r="D564" t="s">
        <v>12</v>
      </c>
      <c r="E564" t="s">
        <v>1291</v>
      </c>
      <c r="F564" t="s">
        <v>1293</v>
      </c>
      <c r="G564" t="s">
        <v>1294</v>
      </c>
    </row>
    <row r="565" spans="1:8" x14ac:dyDescent="0.55000000000000004">
      <c r="A565" t="str">
        <f t="shared" si="18"/>
        <v>14</v>
      </c>
      <c r="B565" t="str">
        <f>"14.32"</f>
        <v>14.32</v>
      </c>
      <c r="C565" t="s">
        <v>8</v>
      </c>
      <c r="D565" t="s">
        <v>12</v>
      </c>
      <c r="E565" t="s">
        <v>1295</v>
      </c>
      <c r="F565" t="s">
        <v>1296</v>
      </c>
    </row>
    <row r="566" spans="1:8" x14ac:dyDescent="0.55000000000000004">
      <c r="A566" t="str">
        <f t="shared" si="18"/>
        <v>14</v>
      </c>
      <c r="B566" t="str">
        <f>"14.3201"</f>
        <v>14.3201</v>
      </c>
      <c r="C566" t="s">
        <v>8</v>
      </c>
      <c r="D566" t="s">
        <v>12</v>
      </c>
      <c r="E566" t="s">
        <v>1295</v>
      </c>
      <c r="F566" t="s">
        <v>1297</v>
      </c>
      <c r="G566" t="s">
        <v>1298</v>
      </c>
    </row>
    <row r="567" spans="1:8" x14ac:dyDescent="0.55000000000000004">
      <c r="A567" t="str">
        <f t="shared" si="18"/>
        <v>14</v>
      </c>
      <c r="B567" t="str">
        <f>"14.33"</f>
        <v>14.33</v>
      </c>
      <c r="C567" t="s">
        <v>8</v>
      </c>
      <c r="D567" t="s">
        <v>12</v>
      </c>
      <c r="E567" t="s">
        <v>1299</v>
      </c>
      <c r="F567" t="s">
        <v>1300</v>
      </c>
    </row>
    <row r="568" spans="1:8" x14ac:dyDescent="0.55000000000000004">
      <c r="A568" t="str">
        <f t="shared" si="18"/>
        <v>14</v>
      </c>
      <c r="B568" t="str">
        <f>"14.3301"</f>
        <v>14.3301</v>
      </c>
      <c r="C568" t="s">
        <v>8</v>
      </c>
      <c r="D568" t="s">
        <v>12</v>
      </c>
      <c r="E568" t="s">
        <v>1299</v>
      </c>
      <c r="F568" t="s">
        <v>1301</v>
      </c>
      <c r="H568" t="s">
        <v>1302</v>
      </c>
    </row>
    <row r="569" spans="1:8" x14ac:dyDescent="0.55000000000000004">
      <c r="A569" t="str">
        <f t="shared" si="18"/>
        <v>14</v>
      </c>
      <c r="B569" t="str">
        <f>"14.34"</f>
        <v>14.34</v>
      </c>
      <c r="C569" t="s">
        <v>8</v>
      </c>
      <c r="D569" t="s">
        <v>12</v>
      </c>
      <c r="E569" t="s">
        <v>1303</v>
      </c>
      <c r="F569" t="s">
        <v>1304</v>
      </c>
    </row>
    <row r="570" spans="1:8" x14ac:dyDescent="0.55000000000000004">
      <c r="A570" t="str">
        <f t="shared" si="18"/>
        <v>14</v>
      </c>
      <c r="B570" t="str">
        <f>"14.3401"</f>
        <v>14.3401</v>
      </c>
      <c r="C570" t="s">
        <v>8</v>
      </c>
      <c r="D570" t="s">
        <v>12</v>
      </c>
      <c r="E570" t="s">
        <v>1303</v>
      </c>
      <c r="F570" t="s">
        <v>1305</v>
      </c>
      <c r="G570" t="s">
        <v>1306</v>
      </c>
    </row>
    <row r="571" spans="1:8" x14ac:dyDescent="0.55000000000000004">
      <c r="A571" t="str">
        <f t="shared" si="18"/>
        <v>14</v>
      </c>
      <c r="B571" t="str">
        <f>"14.35"</f>
        <v>14.35</v>
      </c>
      <c r="C571" t="s">
        <v>8</v>
      </c>
      <c r="D571" t="s">
        <v>12</v>
      </c>
      <c r="E571" t="s">
        <v>1307</v>
      </c>
      <c r="F571" t="s">
        <v>1308</v>
      </c>
    </row>
    <row r="572" spans="1:8" x14ac:dyDescent="0.55000000000000004">
      <c r="A572" t="str">
        <f t="shared" si="18"/>
        <v>14</v>
      </c>
      <c r="B572" t="str">
        <f>"14.3501"</f>
        <v>14.3501</v>
      </c>
      <c r="C572" t="s">
        <v>8</v>
      </c>
      <c r="D572" t="s">
        <v>12</v>
      </c>
      <c r="E572" t="s">
        <v>1307</v>
      </c>
      <c r="F572" t="s">
        <v>1309</v>
      </c>
      <c r="H572" t="s">
        <v>1310</v>
      </c>
    </row>
    <row r="573" spans="1:8" x14ac:dyDescent="0.55000000000000004">
      <c r="A573" t="str">
        <f t="shared" si="18"/>
        <v>14</v>
      </c>
      <c r="B573" t="str">
        <f>"14.36"</f>
        <v>14.36</v>
      </c>
      <c r="C573" t="s">
        <v>8</v>
      </c>
      <c r="D573" t="s">
        <v>12</v>
      </c>
      <c r="E573" t="s">
        <v>1311</v>
      </c>
      <c r="F573" t="s">
        <v>1312</v>
      </c>
    </row>
    <row r="574" spans="1:8" x14ac:dyDescent="0.55000000000000004">
      <c r="A574" t="str">
        <f t="shared" si="18"/>
        <v>14</v>
      </c>
      <c r="B574" t="str">
        <f>"14.3601"</f>
        <v>14.3601</v>
      </c>
      <c r="C574" t="s">
        <v>8</v>
      </c>
      <c r="D574" t="s">
        <v>12</v>
      </c>
      <c r="E574" t="s">
        <v>1311</v>
      </c>
      <c r="F574" t="s">
        <v>1313</v>
      </c>
    </row>
    <row r="575" spans="1:8" x14ac:dyDescent="0.55000000000000004">
      <c r="A575" t="str">
        <f t="shared" si="18"/>
        <v>14</v>
      </c>
      <c r="B575" t="str">
        <f>"14.37"</f>
        <v>14.37</v>
      </c>
      <c r="C575" t="s">
        <v>8</v>
      </c>
      <c r="D575" t="s">
        <v>12</v>
      </c>
      <c r="E575" t="s">
        <v>1314</v>
      </c>
      <c r="F575" t="s">
        <v>1315</v>
      </c>
    </row>
    <row r="576" spans="1:8" x14ac:dyDescent="0.55000000000000004">
      <c r="A576" t="str">
        <f t="shared" si="18"/>
        <v>14</v>
      </c>
      <c r="B576" t="str">
        <f>"14.3701"</f>
        <v>14.3701</v>
      </c>
      <c r="C576" t="s">
        <v>8</v>
      </c>
      <c r="D576" t="s">
        <v>12</v>
      </c>
      <c r="E576" t="s">
        <v>1314</v>
      </c>
      <c r="F576" t="s">
        <v>1316</v>
      </c>
      <c r="H576" t="s">
        <v>1317</v>
      </c>
    </row>
    <row r="577" spans="1:8" x14ac:dyDescent="0.55000000000000004">
      <c r="A577" t="str">
        <f t="shared" si="18"/>
        <v>14</v>
      </c>
      <c r="B577" t="str">
        <f>"14.38"</f>
        <v>14.38</v>
      </c>
      <c r="C577" t="s">
        <v>8</v>
      </c>
      <c r="D577" t="s">
        <v>12</v>
      </c>
      <c r="E577" t="s">
        <v>1318</v>
      </c>
      <c r="F577" t="s">
        <v>1319</v>
      </c>
    </row>
    <row r="578" spans="1:8" x14ac:dyDescent="0.55000000000000004">
      <c r="A578" t="str">
        <f t="shared" si="18"/>
        <v>14</v>
      </c>
      <c r="B578" t="str">
        <f>"14.3801"</f>
        <v>14.3801</v>
      </c>
      <c r="C578" t="s">
        <v>8</v>
      </c>
      <c r="D578" t="s">
        <v>12</v>
      </c>
      <c r="E578" t="s">
        <v>1318</v>
      </c>
      <c r="F578" t="s">
        <v>1320</v>
      </c>
    </row>
    <row r="579" spans="1:8" x14ac:dyDescent="0.55000000000000004">
      <c r="A579" t="str">
        <f t="shared" si="18"/>
        <v>14</v>
      </c>
      <c r="B579" t="str">
        <f>"14.39"</f>
        <v>14.39</v>
      </c>
      <c r="C579" t="s">
        <v>8</v>
      </c>
      <c r="D579" t="s">
        <v>12</v>
      </c>
      <c r="E579" t="s">
        <v>1321</v>
      </c>
      <c r="F579" t="s">
        <v>1322</v>
      </c>
    </row>
    <row r="580" spans="1:8" x14ac:dyDescent="0.55000000000000004">
      <c r="A580" t="str">
        <f t="shared" si="18"/>
        <v>14</v>
      </c>
      <c r="B580" t="str">
        <f>"14.3901"</f>
        <v>14.3901</v>
      </c>
      <c r="C580" t="s">
        <v>8</v>
      </c>
      <c r="D580" t="s">
        <v>12</v>
      </c>
      <c r="E580" t="s">
        <v>1321</v>
      </c>
      <c r="F580" t="s">
        <v>1323</v>
      </c>
      <c r="G580" t="s">
        <v>1324</v>
      </c>
    </row>
    <row r="581" spans="1:8" x14ac:dyDescent="0.55000000000000004">
      <c r="A581" t="str">
        <f t="shared" si="18"/>
        <v>14</v>
      </c>
      <c r="B581" t="str">
        <f>"14.40"</f>
        <v>14.40</v>
      </c>
      <c r="C581" t="s">
        <v>8</v>
      </c>
      <c r="D581" t="s">
        <v>12</v>
      </c>
      <c r="E581" t="s">
        <v>1325</v>
      </c>
      <c r="F581" t="s">
        <v>1326</v>
      </c>
    </row>
    <row r="582" spans="1:8" x14ac:dyDescent="0.55000000000000004">
      <c r="A582" t="str">
        <f t="shared" si="18"/>
        <v>14</v>
      </c>
      <c r="B582" t="str">
        <f>"14.4001"</f>
        <v>14.4001</v>
      </c>
      <c r="C582" t="s">
        <v>8</v>
      </c>
      <c r="D582" t="s">
        <v>12</v>
      </c>
      <c r="E582" t="s">
        <v>1325</v>
      </c>
      <c r="F582" t="s">
        <v>1327</v>
      </c>
      <c r="G582" t="s">
        <v>1328</v>
      </c>
      <c r="H582" t="s">
        <v>1329</v>
      </c>
    </row>
    <row r="583" spans="1:8" x14ac:dyDescent="0.55000000000000004">
      <c r="A583" t="str">
        <f t="shared" si="18"/>
        <v>14</v>
      </c>
      <c r="B583" t="str">
        <f>"14.41"</f>
        <v>14.41</v>
      </c>
      <c r="C583" t="s">
        <v>8</v>
      </c>
      <c r="D583" t="s">
        <v>12</v>
      </c>
      <c r="E583" t="s">
        <v>1330</v>
      </c>
      <c r="F583" t="s">
        <v>1331</v>
      </c>
    </row>
    <row r="584" spans="1:8" x14ac:dyDescent="0.55000000000000004">
      <c r="A584" t="str">
        <f t="shared" si="18"/>
        <v>14</v>
      </c>
      <c r="B584" t="str">
        <f>"14.4101"</f>
        <v>14.4101</v>
      </c>
      <c r="C584" t="s">
        <v>8</v>
      </c>
      <c r="D584" t="s">
        <v>12</v>
      </c>
      <c r="E584" t="s">
        <v>1330</v>
      </c>
      <c r="F584" t="s">
        <v>1332</v>
      </c>
    </row>
    <row r="585" spans="1:8" x14ac:dyDescent="0.55000000000000004">
      <c r="A585" t="str">
        <f t="shared" si="18"/>
        <v>14</v>
      </c>
      <c r="B585" t="str">
        <f>"14.42"</f>
        <v>14.42</v>
      </c>
      <c r="C585" t="s">
        <v>8</v>
      </c>
      <c r="D585" t="s">
        <v>12</v>
      </c>
      <c r="E585" t="s">
        <v>1333</v>
      </c>
      <c r="F585" t="s">
        <v>1334</v>
      </c>
    </row>
    <row r="586" spans="1:8" x14ac:dyDescent="0.55000000000000004">
      <c r="A586" t="str">
        <f t="shared" si="18"/>
        <v>14</v>
      </c>
      <c r="B586" t="str">
        <f>"14.4201"</f>
        <v>14.4201</v>
      </c>
      <c r="C586" t="s">
        <v>8</v>
      </c>
      <c r="D586" t="s">
        <v>12</v>
      </c>
      <c r="E586" t="s">
        <v>1333</v>
      </c>
      <c r="F586" t="s">
        <v>1335</v>
      </c>
      <c r="G586" t="s">
        <v>1336</v>
      </c>
    </row>
    <row r="587" spans="1:8" x14ac:dyDescent="0.55000000000000004">
      <c r="A587" t="str">
        <f t="shared" si="18"/>
        <v>14</v>
      </c>
      <c r="B587" t="str">
        <f>"14.43"</f>
        <v>14.43</v>
      </c>
      <c r="C587" t="s">
        <v>8</v>
      </c>
      <c r="D587" t="s">
        <v>12</v>
      </c>
      <c r="E587" t="s">
        <v>1337</v>
      </c>
      <c r="F587" t="s">
        <v>1338</v>
      </c>
    </row>
    <row r="588" spans="1:8" x14ac:dyDescent="0.55000000000000004">
      <c r="A588" t="str">
        <f t="shared" si="18"/>
        <v>14</v>
      </c>
      <c r="B588" t="str">
        <f>"14.4301"</f>
        <v>14.4301</v>
      </c>
      <c r="C588" t="s">
        <v>8</v>
      </c>
      <c r="D588" t="s">
        <v>12</v>
      </c>
      <c r="E588" t="s">
        <v>1337</v>
      </c>
      <c r="F588" t="s">
        <v>1339</v>
      </c>
      <c r="H588" t="s">
        <v>1340</v>
      </c>
    </row>
    <row r="589" spans="1:8" x14ac:dyDescent="0.55000000000000004">
      <c r="A589" t="str">
        <f t="shared" si="18"/>
        <v>14</v>
      </c>
      <c r="B589" t="str">
        <f>"14.44"</f>
        <v>14.44</v>
      </c>
      <c r="C589" t="s">
        <v>8</v>
      </c>
      <c r="D589" t="s">
        <v>12</v>
      </c>
      <c r="E589" t="s">
        <v>1341</v>
      </c>
      <c r="F589" t="s">
        <v>1342</v>
      </c>
    </row>
    <row r="590" spans="1:8" x14ac:dyDescent="0.55000000000000004">
      <c r="A590" t="str">
        <f t="shared" si="18"/>
        <v>14</v>
      </c>
      <c r="B590" t="str">
        <f>"14.4401"</f>
        <v>14.4401</v>
      </c>
      <c r="C590" t="s">
        <v>8</v>
      </c>
      <c r="D590" t="s">
        <v>12</v>
      </c>
      <c r="E590" t="s">
        <v>1341</v>
      </c>
      <c r="F590" t="s">
        <v>1343</v>
      </c>
    </row>
    <row r="591" spans="1:8" x14ac:dyDescent="0.55000000000000004">
      <c r="A591" t="str">
        <f t="shared" si="18"/>
        <v>14</v>
      </c>
      <c r="B591" t="str">
        <f>"14.45"</f>
        <v>14.45</v>
      </c>
      <c r="C591" t="s">
        <v>8</v>
      </c>
      <c r="D591" t="s">
        <v>12</v>
      </c>
      <c r="E591" t="s">
        <v>1344</v>
      </c>
      <c r="F591" t="s">
        <v>1345</v>
      </c>
    </row>
    <row r="592" spans="1:8" x14ac:dyDescent="0.55000000000000004">
      <c r="A592" t="str">
        <f t="shared" si="18"/>
        <v>14</v>
      </c>
      <c r="B592" t="str">
        <f>"14.4501"</f>
        <v>14.4501</v>
      </c>
      <c r="C592" t="s">
        <v>8</v>
      </c>
      <c r="D592" t="s">
        <v>12</v>
      </c>
      <c r="E592" t="s">
        <v>1344</v>
      </c>
      <c r="F592" t="s">
        <v>1346</v>
      </c>
      <c r="H592" t="s">
        <v>1347</v>
      </c>
    </row>
    <row r="593" spans="1:8" x14ac:dyDescent="0.55000000000000004">
      <c r="A593" t="str">
        <f t="shared" si="18"/>
        <v>14</v>
      </c>
      <c r="B593" t="str">
        <f>"14.47"</f>
        <v>14.47</v>
      </c>
      <c r="C593" t="s">
        <v>47</v>
      </c>
      <c r="D593" t="s">
        <v>12</v>
      </c>
      <c r="E593" t="s">
        <v>1348</v>
      </c>
      <c r="F593" t="s">
        <v>1349</v>
      </c>
    </row>
    <row r="594" spans="1:8" x14ac:dyDescent="0.55000000000000004">
      <c r="A594" t="str">
        <f t="shared" si="18"/>
        <v>14</v>
      </c>
      <c r="B594" t="str">
        <f>"14.4701"</f>
        <v>14.4701</v>
      </c>
      <c r="C594" t="s">
        <v>47</v>
      </c>
      <c r="D594" t="s">
        <v>12</v>
      </c>
      <c r="E594" t="s">
        <v>1348</v>
      </c>
      <c r="F594" t="s">
        <v>1350</v>
      </c>
    </row>
    <row r="595" spans="1:8" x14ac:dyDescent="0.55000000000000004">
      <c r="A595" t="str">
        <f t="shared" si="18"/>
        <v>14</v>
      </c>
      <c r="B595" t="str">
        <f>"14.48"</f>
        <v>14.48</v>
      </c>
      <c r="C595" t="s">
        <v>47</v>
      </c>
      <c r="D595" t="s">
        <v>12</v>
      </c>
      <c r="E595" t="s">
        <v>1351</v>
      </c>
      <c r="F595" t="s">
        <v>1352</v>
      </c>
    </row>
    <row r="596" spans="1:8" x14ac:dyDescent="0.55000000000000004">
      <c r="A596" t="str">
        <f t="shared" si="18"/>
        <v>14</v>
      </c>
      <c r="B596" t="str">
        <f>"14.4801"</f>
        <v>14.4801</v>
      </c>
      <c r="C596" t="s">
        <v>47</v>
      </c>
      <c r="D596" t="s">
        <v>12</v>
      </c>
      <c r="E596" t="s">
        <v>1353</v>
      </c>
      <c r="F596" t="s">
        <v>1354</v>
      </c>
      <c r="G596" t="s">
        <v>1355</v>
      </c>
      <c r="H596" t="s">
        <v>1356</v>
      </c>
    </row>
    <row r="597" spans="1:8" x14ac:dyDescent="0.55000000000000004">
      <c r="A597" t="str">
        <f t="shared" si="18"/>
        <v>14</v>
      </c>
      <c r="B597" t="str">
        <f>"14.4802"</f>
        <v>14.4802</v>
      </c>
      <c r="C597" t="s">
        <v>47</v>
      </c>
      <c r="D597" t="s">
        <v>12</v>
      </c>
      <c r="E597" t="s">
        <v>1357</v>
      </c>
      <c r="F597" t="s">
        <v>1358</v>
      </c>
      <c r="G597" t="s">
        <v>1359</v>
      </c>
    </row>
    <row r="598" spans="1:8" x14ac:dyDescent="0.55000000000000004">
      <c r="A598" t="str">
        <f t="shared" si="18"/>
        <v>14</v>
      </c>
      <c r="B598" t="str">
        <f>"14.4899"</f>
        <v>14.4899</v>
      </c>
      <c r="C598" t="s">
        <v>47</v>
      </c>
      <c r="D598" t="s">
        <v>12</v>
      </c>
      <c r="E598" t="s">
        <v>1360</v>
      </c>
      <c r="F598" t="s">
        <v>1361</v>
      </c>
    </row>
    <row r="599" spans="1:8" x14ac:dyDescent="0.55000000000000004">
      <c r="A599" t="str">
        <f t="shared" si="18"/>
        <v>14</v>
      </c>
      <c r="B599" t="str">
        <f>"14.99"</f>
        <v>14.99</v>
      </c>
      <c r="C599" t="s">
        <v>8</v>
      </c>
      <c r="D599" t="s">
        <v>12</v>
      </c>
      <c r="E599" t="s">
        <v>1362</v>
      </c>
      <c r="F599" t="s">
        <v>1363</v>
      </c>
    </row>
    <row r="600" spans="1:8" x14ac:dyDescent="0.55000000000000004">
      <c r="A600" t="str">
        <f t="shared" si="18"/>
        <v>14</v>
      </c>
      <c r="B600" t="str">
        <f>"14.9999"</f>
        <v>14.9999</v>
      </c>
      <c r="C600" t="s">
        <v>8</v>
      </c>
      <c r="D600" t="s">
        <v>12</v>
      </c>
      <c r="E600" t="s">
        <v>1362</v>
      </c>
      <c r="F600" t="s">
        <v>1364</v>
      </c>
    </row>
    <row r="601" spans="1:8" x14ac:dyDescent="0.55000000000000004">
      <c r="A601" t="str">
        <f>"15"</f>
        <v>15</v>
      </c>
      <c r="B601" t="str">
        <f>"15"</f>
        <v>15</v>
      </c>
      <c r="C601" t="s">
        <v>8</v>
      </c>
      <c r="D601" t="s">
        <v>9</v>
      </c>
      <c r="E601" t="s">
        <v>1365</v>
      </c>
      <c r="F601" t="s">
        <v>1366</v>
      </c>
    </row>
    <row r="602" spans="1:8" x14ac:dyDescent="0.55000000000000004">
      <c r="A602" t="str">
        <f t="shared" ref="A602:A633" si="19">"15"</f>
        <v>15</v>
      </c>
      <c r="B602" t="str">
        <f>"15.00"</f>
        <v>15.00</v>
      </c>
      <c r="C602" t="s">
        <v>8</v>
      </c>
      <c r="D602" t="s">
        <v>9</v>
      </c>
      <c r="E602" t="s">
        <v>1367</v>
      </c>
      <c r="F602" t="s">
        <v>1368</v>
      </c>
    </row>
    <row r="603" spans="1:8" x14ac:dyDescent="0.55000000000000004">
      <c r="A603" t="str">
        <f t="shared" si="19"/>
        <v>15</v>
      </c>
      <c r="B603" t="str">
        <f>"15.0000"</f>
        <v>15.0000</v>
      </c>
      <c r="C603" t="s">
        <v>8</v>
      </c>
      <c r="D603" t="s">
        <v>9</v>
      </c>
      <c r="E603" t="s">
        <v>1367</v>
      </c>
      <c r="F603" t="s">
        <v>1369</v>
      </c>
    </row>
    <row r="604" spans="1:8" x14ac:dyDescent="0.55000000000000004">
      <c r="A604" t="str">
        <f t="shared" si="19"/>
        <v>15</v>
      </c>
      <c r="B604" t="str">
        <f>"15.0001"</f>
        <v>15.0001</v>
      </c>
      <c r="C604" t="s">
        <v>47</v>
      </c>
      <c r="D604" t="s">
        <v>12</v>
      </c>
      <c r="E604" t="s">
        <v>1370</v>
      </c>
      <c r="F604" t="s">
        <v>1371</v>
      </c>
      <c r="H604" t="s">
        <v>1372</v>
      </c>
    </row>
    <row r="605" spans="1:8" x14ac:dyDescent="0.55000000000000004">
      <c r="A605" t="str">
        <f t="shared" si="19"/>
        <v>15</v>
      </c>
      <c r="B605" t="str">
        <f>"15.01"</f>
        <v>15.01</v>
      </c>
      <c r="C605" t="s">
        <v>8</v>
      </c>
      <c r="D605" t="s">
        <v>9</v>
      </c>
      <c r="E605" t="s">
        <v>1373</v>
      </c>
      <c r="F605" t="s">
        <v>1374</v>
      </c>
    </row>
    <row r="606" spans="1:8" x14ac:dyDescent="0.55000000000000004">
      <c r="A606" t="str">
        <f t="shared" si="19"/>
        <v>15</v>
      </c>
      <c r="B606" t="str">
        <f>"15.0101"</f>
        <v>15.0101</v>
      </c>
      <c r="C606" t="s">
        <v>8</v>
      </c>
      <c r="D606" t="s">
        <v>9</v>
      </c>
      <c r="E606" t="s">
        <v>1373</v>
      </c>
      <c r="F606" t="s">
        <v>1375</v>
      </c>
    </row>
    <row r="607" spans="1:8" x14ac:dyDescent="0.55000000000000004">
      <c r="A607" t="str">
        <f t="shared" si="19"/>
        <v>15</v>
      </c>
      <c r="B607" t="str">
        <f>"15.02"</f>
        <v>15.02</v>
      </c>
      <c r="C607" t="s">
        <v>8</v>
      </c>
      <c r="D607" t="s">
        <v>9</v>
      </c>
      <c r="E607" t="s">
        <v>1376</v>
      </c>
      <c r="F607" t="s">
        <v>1377</v>
      </c>
    </row>
    <row r="608" spans="1:8" x14ac:dyDescent="0.55000000000000004">
      <c r="A608" t="str">
        <f t="shared" si="19"/>
        <v>15</v>
      </c>
      <c r="B608" t="str">
        <f>"15.0201"</f>
        <v>15.0201</v>
      </c>
      <c r="C608" t="s">
        <v>8</v>
      </c>
      <c r="D608" t="s">
        <v>9</v>
      </c>
      <c r="E608" t="s">
        <v>1376</v>
      </c>
      <c r="F608" t="s">
        <v>1378</v>
      </c>
    </row>
    <row r="609" spans="1:8" x14ac:dyDescent="0.55000000000000004">
      <c r="A609" t="str">
        <f t="shared" si="19"/>
        <v>15</v>
      </c>
      <c r="B609" t="str">
        <f>"15.03"</f>
        <v>15.03</v>
      </c>
      <c r="C609" t="s">
        <v>8</v>
      </c>
      <c r="D609" t="s">
        <v>9</v>
      </c>
      <c r="E609" t="s">
        <v>1379</v>
      </c>
      <c r="F609" t="s">
        <v>1380</v>
      </c>
    </row>
    <row r="610" spans="1:8" x14ac:dyDescent="0.55000000000000004">
      <c r="A610" t="str">
        <f t="shared" si="19"/>
        <v>15</v>
      </c>
      <c r="B610" t="str">
        <f>"15.0303"</f>
        <v>15.0303</v>
      </c>
      <c r="C610" t="s">
        <v>8</v>
      </c>
      <c r="D610" t="s">
        <v>9</v>
      </c>
      <c r="E610" t="s">
        <v>1381</v>
      </c>
      <c r="F610" t="s">
        <v>1382</v>
      </c>
      <c r="G610" t="s">
        <v>1383</v>
      </c>
      <c r="H610" t="s">
        <v>1384</v>
      </c>
    </row>
    <row r="611" spans="1:8" x14ac:dyDescent="0.55000000000000004">
      <c r="A611" t="str">
        <f t="shared" si="19"/>
        <v>15</v>
      </c>
      <c r="B611" t="str">
        <f>"15.0304"</f>
        <v>15.0304</v>
      </c>
      <c r="C611" t="s">
        <v>8</v>
      </c>
      <c r="D611" t="s">
        <v>9</v>
      </c>
      <c r="E611" t="s">
        <v>1385</v>
      </c>
      <c r="F611" t="s">
        <v>1386</v>
      </c>
      <c r="H611" t="s">
        <v>1387</v>
      </c>
    </row>
    <row r="612" spans="1:8" x14ac:dyDescent="0.55000000000000004">
      <c r="A612" t="str">
        <f t="shared" si="19"/>
        <v>15</v>
      </c>
      <c r="B612" t="str">
        <f>"15.0305"</f>
        <v>15.0305</v>
      </c>
      <c r="C612" t="s">
        <v>8</v>
      </c>
      <c r="D612" t="s">
        <v>9</v>
      </c>
      <c r="E612" t="s">
        <v>1388</v>
      </c>
      <c r="F612" t="s">
        <v>1389</v>
      </c>
      <c r="H612" t="s">
        <v>1390</v>
      </c>
    </row>
    <row r="613" spans="1:8" x14ac:dyDescent="0.55000000000000004">
      <c r="A613" t="str">
        <f t="shared" si="19"/>
        <v>15</v>
      </c>
      <c r="B613" t="str">
        <f>"15.0306"</f>
        <v>15.0306</v>
      </c>
      <c r="C613" t="s">
        <v>8</v>
      </c>
      <c r="D613" t="s">
        <v>9</v>
      </c>
      <c r="E613" t="s">
        <v>1391</v>
      </c>
      <c r="F613" t="s">
        <v>1392</v>
      </c>
      <c r="H613" t="s">
        <v>1393</v>
      </c>
    </row>
    <row r="614" spans="1:8" x14ac:dyDescent="0.55000000000000004">
      <c r="A614" t="str">
        <f t="shared" si="19"/>
        <v>15</v>
      </c>
      <c r="B614" t="str">
        <f>"15.0307"</f>
        <v>15.0307</v>
      </c>
      <c r="C614" t="s">
        <v>47</v>
      </c>
      <c r="D614" t="s">
        <v>12</v>
      </c>
      <c r="E614" t="s">
        <v>1394</v>
      </c>
      <c r="F614" t="s">
        <v>1395</v>
      </c>
    </row>
    <row r="615" spans="1:8" x14ac:dyDescent="0.55000000000000004">
      <c r="A615" t="str">
        <f t="shared" si="19"/>
        <v>15</v>
      </c>
      <c r="B615" t="str">
        <f>"15.0399"</f>
        <v>15.0399</v>
      </c>
      <c r="C615" t="s">
        <v>8</v>
      </c>
      <c r="D615" t="s">
        <v>9</v>
      </c>
      <c r="E615" t="s">
        <v>1396</v>
      </c>
      <c r="F615" t="s">
        <v>1397</v>
      </c>
      <c r="H615" t="s">
        <v>1398</v>
      </c>
    </row>
    <row r="616" spans="1:8" x14ac:dyDescent="0.55000000000000004">
      <c r="A616" t="str">
        <f t="shared" si="19"/>
        <v>15</v>
      </c>
      <c r="B616" t="str">
        <f>"15.04"</f>
        <v>15.04</v>
      </c>
      <c r="C616" t="s">
        <v>8</v>
      </c>
      <c r="D616" t="s">
        <v>9</v>
      </c>
      <c r="E616" t="s">
        <v>1399</v>
      </c>
      <c r="F616" t="s">
        <v>1400</v>
      </c>
    </row>
    <row r="617" spans="1:8" x14ac:dyDescent="0.55000000000000004">
      <c r="A617" t="str">
        <f t="shared" si="19"/>
        <v>15</v>
      </c>
      <c r="B617" t="str">
        <f>"15.0401"</f>
        <v>15.0401</v>
      </c>
      <c r="C617" t="s">
        <v>8</v>
      </c>
      <c r="D617" t="s">
        <v>12</v>
      </c>
      <c r="E617" t="s">
        <v>1401</v>
      </c>
      <c r="F617" t="s">
        <v>1402</v>
      </c>
      <c r="H617" t="s">
        <v>1403</v>
      </c>
    </row>
    <row r="618" spans="1:8" x14ac:dyDescent="0.55000000000000004">
      <c r="A618" t="str">
        <f t="shared" si="19"/>
        <v>15</v>
      </c>
      <c r="B618" t="str">
        <f>"15.0403"</f>
        <v>15.0403</v>
      </c>
      <c r="C618" t="s">
        <v>8</v>
      </c>
      <c r="D618" t="s">
        <v>9</v>
      </c>
      <c r="E618" t="s">
        <v>1404</v>
      </c>
      <c r="F618" t="s">
        <v>1405</v>
      </c>
    </row>
    <row r="619" spans="1:8" x14ac:dyDescent="0.55000000000000004">
      <c r="A619" t="str">
        <f t="shared" si="19"/>
        <v>15</v>
      </c>
      <c r="B619" t="str">
        <f>"15.0404"</f>
        <v>15.0404</v>
      </c>
      <c r="C619" t="s">
        <v>8</v>
      </c>
      <c r="D619" t="s">
        <v>12</v>
      </c>
      <c r="E619" t="s">
        <v>1406</v>
      </c>
      <c r="F619" t="s">
        <v>1407</v>
      </c>
      <c r="H619" t="s">
        <v>1408</v>
      </c>
    </row>
    <row r="620" spans="1:8" x14ac:dyDescent="0.55000000000000004">
      <c r="A620" t="str">
        <f t="shared" si="19"/>
        <v>15</v>
      </c>
      <c r="B620" t="str">
        <f>"15.0405"</f>
        <v>15.0405</v>
      </c>
      <c r="C620" t="s">
        <v>8</v>
      </c>
      <c r="D620" t="s">
        <v>12</v>
      </c>
      <c r="E620" t="s">
        <v>1409</v>
      </c>
      <c r="F620" t="s">
        <v>1410</v>
      </c>
    </row>
    <row r="621" spans="1:8" x14ac:dyDescent="0.55000000000000004">
      <c r="A621" t="str">
        <f t="shared" si="19"/>
        <v>15</v>
      </c>
      <c r="B621" t="str">
        <f>"15.0406"</f>
        <v>15.0406</v>
      </c>
      <c r="C621" t="s">
        <v>8</v>
      </c>
      <c r="D621" t="s">
        <v>12</v>
      </c>
      <c r="E621" t="s">
        <v>1411</v>
      </c>
      <c r="F621" t="s">
        <v>1412</v>
      </c>
    </row>
    <row r="622" spans="1:8" x14ac:dyDescent="0.55000000000000004">
      <c r="A622" t="str">
        <f t="shared" si="19"/>
        <v>15</v>
      </c>
      <c r="B622" t="str">
        <f>"15.0407"</f>
        <v>15.0407</v>
      </c>
      <c r="C622" t="s">
        <v>47</v>
      </c>
      <c r="D622" t="s">
        <v>12</v>
      </c>
      <c r="E622" t="s">
        <v>1413</v>
      </c>
      <c r="F622" t="s">
        <v>1414</v>
      </c>
      <c r="G622" t="s">
        <v>696</v>
      </c>
    </row>
    <row r="623" spans="1:8" x14ac:dyDescent="0.55000000000000004">
      <c r="A623" t="str">
        <f t="shared" si="19"/>
        <v>15</v>
      </c>
      <c r="B623" t="str">
        <f>"15.0499"</f>
        <v>15.0499</v>
      </c>
      <c r="C623" t="s">
        <v>8</v>
      </c>
      <c r="D623" t="s">
        <v>9</v>
      </c>
      <c r="E623" t="s">
        <v>1415</v>
      </c>
      <c r="F623" t="s">
        <v>1416</v>
      </c>
    </row>
    <row r="624" spans="1:8" x14ac:dyDescent="0.55000000000000004">
      <c r="A624" t="str">
        <f t="shared" si="19"/>
        <v>15</v>
      </c>
      <c r="B624" t="str">
        <f>"15.05"</f>
        <v>15.05</v>
      </c>
      <c r="C624" t="s">
        <v>8</v>
      </c>
      <c r="D624" t="s">
        <v>9</v>
      </c>
      <c r="E624" t="s">
        <v>1417</v>
      </c>
      <c r="F624" t="s">
        <v>1418</v>
      </c>
    </row>
    <row r="625" spans="1:8" x14ac:dyDescent="0.55000000000000004">
      <c r="A625" t="str">
        <f t="shared" si="19"/>
        <v>15</v>
      </c>
      <c r="B625" t="str">
        <f>"15.0501"</f>
        <v>15.0501</v>
      </c>
      <c r="C625" t="s">
        <v>8</v>
      </c>
      <c r="D625" t="s">
        <v>12</v>
      </c>
      <c r="E625" t="s">
        <v>1419</v>
      </c>
      <c r="F625" t="s">
        <v>1420</v>
      </c>
      <c r="G625" t="s">
        <v>1421</v>
      </c>
      <c r="H625" t="s">
        <v>1422</v>
      </c>
    </row>
    <row r="626" spans="1:8" x14ac:dyDescent="0.55000000000000004">
      <c r="A626" t="str">
        <f t="shared" si="19"/>
        <v>15</v>
      </c>
      <c r="B626" t="str">
        <f>"15.0503"</f>
        <v>15.0503</v>
      </c>
      <c r="C626" t="s">
        <v>70</v>
      </c>
      <c r="D626" t="s">
        <v>12</v>
      </c>
      <c r="E626" t="s">
        <v>1423</v>
      </c>
      <c r="F626" t="s">
        <v>1424</v>
      </c>
    </row>
    <row r="627" spans="1:8" x14ac:dyDescent="0.55000000000000004">
      <c r="A627" t="str">
        <f t="shared" si="19"/>
        <v>15</v>
      </c>
      <c r="B627" t="str">
        <f>"15.0505"</f>
        <v>15.0505</v>
      </c>
      <c r="C627" t="s">
        <v>70</v>
      </c>
      <c r="D627" t="s">
        <v>12</v>
      </c>
      <c r="E627" t="s">
        <v>1425</v>
      </c>
      <c r="F627" t="s">
        <v>1426</v>
      </c>
    </row>
    <row r="628" spans="1:8" x14ac:dyDescent="0.55000000000000004">
      <c r="A628" t="str">
        <f t="shared" si="19"/>
        <v>15</v>
      </c>
      <c r="B628" t="str">
        <f>"15.0506"</f>
        <v>15.0506</v>
      </c>
      <c r="C628" t="s">
        <v>8</v>
      </c>
      <c r="D628" t="s">
        <v>12</v>
      </c>
      <c r="E628" t="s">
        <v>1427</v>
      </c>
      <c r="F628" t="s">
        <v>1428</v>
      </c>
    </row>
    <row r="629" spans="1:8" x14ac:dyDescent="0.55000000000000004">
      <c r="A629" t="str">
        <f t="shared" si="19"/>
        <v>15</v>
      </c>
      <c r="B629" t="str">
        <f>"15.0507"</f>
        <v>15.0507</v>
      </c>
      <c r="C629" t="s">
        <v>8</v>
      </c>
      <c r="D629" t="s">
        <v>9</v>
      </c>
      <c r="E629" t="s">
        <v>1429</v>
      </c>
      <c r="F629" t="s">
        <v>1430</v>
      </c>
    </row>
    <row r="630" spans="1:8" x14ac:dyDescent="0.55000000000000004">
      <c r="A630" t="str">
        <f t="shared" si="19"/>
        <v>15</v>
      </c>
      <c r="B630" t="str">
        <f>"15.0508"</f>
        <v>15.0508</v>
      </c>
      <c r="C630" t="s">
        <v>8</v>
      </c>
      <c r="D630" t="s">
        <v>12</v>
      </c>
      <c r="E630" t="s">
        <v>1431</v>
      </c>
      <c r="F630" t="s">
        <v>1432</v>
      </c>
    </row>
    <row r="631" spans="1:8" x14ac:dyDescent="0.55000000000000004">
      <c r="A631" t="str">
        <f t="shared" si="19"/>
        <v>15</v>
      </c>
      <c r="B631" t="str">
        <f>"15.0599"</f>
        <v>15.0599</v>
      </c>
      <c r="C631" t="s">
        <v>8</v>
      </c>
      <c r="D631" t="s">
        <v>9</v>
      </c>
      <c r="E631" t="s">
        <v>1433</v>
      </c>
      <c r="F631" t="s">
        <v>1434</v>
      </c>
    </row>
    <row r="632" spans="1:8" x14ac:dyDescent="0.55000000000000004">
      <c r="A632" t="str">
        <f t="shared" si="19"/>
        <v>15</v>
      </c>
      <c r="B632" t="str">
        <f>"15.06"</f>
        <v>15.06</v>
      </c>
      <c r="C632" t="s">
        <v>8</v>
      </c>
      <c r="D632" t="s">
        <v>12</v>
      </c>
      <c r="E632" t="s">
        <v>1435</v>
      </c>
      <c r="F632" t="s">
        <v>1436</v>
      </c>
    </row>
    <row r="633" spans="1:8" x14ac:dyDescent="0.55000000000000004">
      <c r="A633" t="str">
        <f t="shared" si="19"/>
        <v>15</v>
      </c>
      <c r="B633" t="str">
        <f>"15.0607"</f>
        <v>15.0607</v>
      </c>
      <c r="C633" t="s">
        <v>8</v>
      </c>
      <c r="D633" t="s">
        <v>12</v>
      </c>
      <c r="E633" t="s">
        <v>1437</v>
      </c>
      <c r="F633" t="s">
        <v>1438</v>
      </c>
    </row>
    <row r="634" spans="1:8" x14ac:dyDescent="0.55000000000000004">
      <c r="A634" t="str">
        <f t="shared" ref="A634:A665" si="20">"15"</f>
        <v>15</v>
      </c>
      <c r="B634" t="str">
        <f>"15.0611"</f>
        <v>15.0611</v>
      </c>
      <c r="C634" t="s">
        <v>8</v>
      </c>
      <c r="D634" t="s">
        <v>12</v>
      </c>
      <c r="E634" t="s">
        <v>1439</v>
      </c>
      <c r="F634" t="s">
        <v>1440</v>
      </c>
    </row>
    <row r="635" spans="1:8" x14ac:dyDescent="0.55000000000000004">
      <c r="A635" t="str">
        <f t="shared" si="20"/>
        <v>15</v>
      </c>
      <c r="B635" t="str">
        <f>"15.0612"</f>
        <v>15.0612</v>
      </c>
      <c r="C635" t="s">
        <v>8</v>
      </c>
      <c r="D635" t="s">
        <v>12</v>
      </c>
      <c r="E635" t="s">
        <v>1441</v>
      </c>
      <c r="F635" t="s">
        <v>1442</v>
      </c>
    </row>
    <row r="636" spans="1:8" x14ac:dyDescent="0.55000000000000004">
      <c r="A636" t="str">
        <f t="shared" si="20"/>
        <v>15</v>
      </c>
      <c r="B636" t="str">
        <f>"15.0613"</f>
        <v>15.0613</v>
      </c>
      <c r="C636" t="s">
        <v>8</v>
      </c>
      <c r="D636" t="s">
        <v>12</v>
      </c>
      <c r="E636" t="s">
        <v>1443</v>
      </c>
      <c r="F636" t="s">
        <v>1444</v>
      </c>
    </row>
    <row r="637" spans="1:8" x14ac:dyDescent="0.55000000000000004">
      <c r="A637" t="str">
        <f t="shared" si="20"/>
        <v>15</v>
      </c>
      <c r="B637" t="str">
        <f>"15.0614"</f>
        <v>15.0614</v>
      </c>
      <c r="C637" t="s">
        <v>8</v>
      </c>
      <c r="D637" t="s">
        <v>12</v>
      </c>
      <c r="E637" t="s">
        <v>1445</v>
      </c>
      <c r="F637" t="s">
        <v>1446</v>
      </c>
      <c r="G637" t="s">
        <v>1447</v>
      </c>
    </row>
    <row r="638" spans="1:8" x14ac:dyDescent="0.55000000000000004">
      <c r="A638" t="str">
        <f t="shared" si="20"/>
        <v>15</v>
      </c>
      <c r="B638" t="str">
        <f>"15.0615"</f>
        <v>15.0615</v>
      </c>
      <c r="C638" t="s">
        <v>8</v>
      </c>
      <c r="D638" t="s">
        <v>12</v>
      </c>
      <c r="E638" t="s">
        <v>1448</v>
      </c>
      <c r="F638" t="s">
        <v>1449</v>
      </c>
    </row>
    <row r="639" spans="1:8" x14ac:dyDescent="0.55000000000000004">
      <c r="A639" t="str">
        <f t="shared" si="20"/>
        <v>15</v>
      </c>
      <c r="B639" t="str">
        <f>"15.0616"</f>
        <v>15.0616</v>
      </c>
      <c r="C639" t="s">
        <v>8</v>
      </c>
      <c r="D639" t="s">
        <v>9</v>
      </c>
      <c r="E639" t="s">
        <v>1450</v>
      </c>
      <c r="F639" t="s">
        <v>1451</v>
      </c>
    </row>
    <row r="640" spans="1:8" x14ac:dyDescent="0.55000000000000004">
      <c r="A640" t="str">
        <f t="shared" si="20"/>
        <v>15</v>
      </c>
      <c r="B640" t="str">
        <f>"15.0617"</f>
        <v>15.0617</v>
      </c>
      <c r="C640" t="s">
        <v>47</v>
      </c>
      <c r="D640" t="s">
        <v>12</v>
      </c>
      <c r="E640" t="s">
        <v>1452</v>
      </c>
      <c r="F640" t="s">
        <v>1453</v>
      </c>
    </row>
    <row r="641" spans="1:8" x14ac:dyDescent="0.55000000000000004">
      <c r="A641" t="str">
        <f t="shared" si="20"/>
        <v>15</v>
      </c>
      <c r="B641" t="str">
        <f>"15.0699"</f>
        <v>15.0699</v>
      </c>
      <c r="C641" t="s">
        <v>8</v>
      </c>
      <c r="D641" t="s">
        <v>9</v>
      </c>
      <c r="E641" t="s">
        <v>1454</v>
      </c>
      <c r="F641" t="s">
        <v>1455</v>
      </c>
    </row>
    <row r="642" spans="1:8" x14ac:dyDescent="0.55000000000000004">
      <c r="A642" t="str">
        <f t="shared" si="20"/>
        <v>15</v>
      </c>
      <c r="B642" t="str">
        <f>"15.07"</f>
        <v>15.07</v>
      </c>
      <c r="C642" t="s">
        <v>8</v>
      </c>
      <c r="D642" t="s">
        <v>12</v>
      </c>
      <c r="E642" t="s">
        <v>1456</v>
      </c>
      <c r="F642" t="s">
        <v>1457</v>
      </c>
    </row>
    <row r="643" spans="1:8" x14ac:dyDescent="0.55000000000000004">
      <c r="A643" t="str">
        <f t="shared" si="20"/>
        <v>15</v>
      </c>
      <c r="B643" t="str">
        <f>"15.0701"</f>
        <v>15.0701</v>
      </c>
      <c r="C643" t="s">
        <v>8</v>
      </c>
      <c r="D643" t="s">
        <v>12</v>
      </c>
      <c r="E643" t="s">
        <v>1458</v>
      </c>
      <c r="F643" t="s">
        <v>1459</v>
      </c>
    </row>
    <row r="644" spans="1:8" x14ac:dyDescent="0.55000000000000004">
      <c r="A644" t="str">
        <f t="shared" si="20"/>
        <v>15</v>
      </c>
      <c r="B644" t="str">
        <f>"15.0702"</f>
        <v>15.0702</v>
      </c>
      <c r="C644" t="s">
        <v>8</v>
      </c>
      <c r="D644" t="s">
        <v>12</v>
      </c>
      <c r="E644" t="s">
        <v>1460</v>
      </c>
      <c r="F644" t="s">
        <v>1461</v>
      </c>
    </row>
    <row r="645" spans="1:8" x14ac:dyDescent="0.55000000000000004">
      <c r="A645" t="str">
        <f t="shared" si="20"/>
        <v>15</v>
      </c>
      <c r="B645" t="str">
        <f>"15.0703"</f>
        <v>15.0703</v>
      </c>
      <c r="C645" t="s">
        <v>8</v>
      </c>
      <c r="D645" t="s">
        <v>9</v>
      </c>
      <c r="E645" t="s">
        <v>1462</v>
      </c>
      <c r="F645" t="s">
        <v>1463</v>
      </c>
    </row>
    <row r="646" spans="1:8" x14ac:dyDescent="0.55000000000000004">
      <c r="A646" t="str">
        <f t="shared" si="20"/>
        <v>15</v>
      </c>
      <c r="B646" t="str">
        <f>"15.0704"</f>
        <v>15.0704</v>
      </c>
      <c r="C646" t="s">
        <v>8</v>
      </c>
      <c r="D646" t="s">
        <v>12</v>
      </c>
      <c r="E646" t="s">
        <v>1464</v>
      </c>
      <c r="F646" t="s">
        <v>1465</v>
      </c>
    </row>
    <row r="647" spans="1:8" x14ac:dyDescent="0.55000000000000004">
      <c r="A647" t="str">
        <f t="shared" si="20"/>
        <v>15</v>
      </c>
      <c r="B647" t="str">
        <f>"15.0705"</f>
        <v>15.0705</v>
      </c>
      <c r="C647" t="s">
        <v>47</v>
      </c>
      <c r="D647" t="s">
        <v>12</v>
      </c>
      <c r="E647" t="s">
        <v>1466</v>
      </c>
      <c r="F647" t="s">
        <v>1467</v>
      </c>
    </row>
    <row r="648" spans="1:8" x14ac:dyDescent="0.55000000000000004">
      <c r="A648" t="str">
        <f t="shared" si="20"/>
        <v>15</v>
      </c>
      <c r="B648" t="str">
        <f>"15.0799"</f>
        <v>15.0799</v>
      </c>
      <c r="C648" t="s">
        <v>8</v>
      </c>
      <c r="D648" t="s">
        <v>12</v>
      </c>
      <c r="E648" t="s">
        <v>1468</v>
      </c>
      <c r="F648" t="s">
        <v>1469</v>
      </c>
      <c r="H648" t="s">
        <v>1470</v>
      </c>
    </row>
    <row r="649" spans="1:8" x14ac:dyDescent="0.55000000000000004">
      <c r="A649" t="str">
        <f t="shared" si="20"/>
        <v>15</v>
      </c>
      <c r="B649" t="str">
        <f>"15.08"</f>
        <v>15.08</v>
      </c>
      <c r="C649" t="s">
        <v>8</v>
      </c>
      <c r="D649" t="s">
        <v>12</v>
      </c>
      <c r="E649" t="s">
        <v>1471</v>
      </c>
      <c r="F649" t="s">
        <v>1472</v>
      </c>
    </row>
    <row r="650" spans="1:8" x14ac:dyDescent="0.55000000000000004">
      <c r="A650" t="str">
        <f t="shared" si="20"/>
        <v>15</v>
      </c>
      <c r="B650" t="str">
        <f>"15.0801"</f>
        <v>15.0801</v>
      </c>
      <c r="C650" t="s">
        <v>8</v>
      </c>
      <c r="D650" t="s">
        <v>12</v>
      </c>
      <c r="E650" t="s">
        <v>1473</v>
      </c>
      <c r="F650" t="s">
        <v>1474</v>
      </c>
      <c r="G650" t="s">
        <v>1475</v>
      </c>
    </row>
    <row r="651" spans="1:8" x14ac:dyDescent="0.55000000000000004">
      <c r="A651" t="str">
        <f t="shared" si="20"/>
        <v>15</v>
      </c>
      <c r="B651" t="str">
        <f>"15.0803"</f>
        <v>15.0803</v>
      </c>
      <c r="C651" t="s">
        <v>8</v>
      </c>
      <c r="D651" t="s">
        <v>12</v>
      </c>
      <c r="E651" t="s">
        <v>1476</v>
      </c>
      <c r="F651" t="s">
        <v>1477</v>
      </c>
      <c r="G651" t="s">
        <v>1478</v>
      </c>
    </row>
    <row r="652" spans="1:8" x14ac:dyDescent="0.55000000000000004">
      <c r="A652" t="str">
        <f t="shared" si="20"/>
        <v>15</v>
      </c>
      <c r="B652" t="str">
        <f>"15.0805"</f>
        <v>15.0805</v>
      </c>
      <c r="C652" t="s">
        <v>8</v>
      </c>
      <c r="D652" t="s">
        <v>9</v>
      </c>
      <c r="E652" t="s">
        <v>1479</v>
      </c>
      <c r="F652" t="s">
        <v>1480</v>
      </c>
    </row>
    <row r="653" spans="1:8" x14ac:dyDescent="0.55000000000000004">
      <c r="A653" t="str">
        <f t="shared" si="20"/>
        <v>15</v>
      </c>
      <c r="B653" t="str">
        <f>"15.0806"</f>
        <v>15.0806</v>
      </c>
      <c r="C653" t="s">
        <v>47</v>
      </c>
      <c r="D653" t="s">
        <v>12</v>
      </c>
      <c r="E653" t="s">
        <v>1481</v>
      </c>
      <c r="F653" t="s">
        <v>1482</v>
      </c>
      <c r="G653" t="s">
        <v>1483</v>
      </c>
    </row>
    <row r="654" spans="1:8" x14ac:dyDescent="0.55000000000000004">
      <c r="A654" t="str">
        <f t="shared" si="20"/>
        <v>15</v>
      </c>
      <c r="B654" t="str">
        <f>"15.0807"</f>
        <v>15.0807</v>
      </c>
      <c r="C654" t="s">
        <v>47</v>
      </c>
      <c r="D654" t="s">
        <v>12</v>
      </c>
      <c r="E654" t="s">
        <v>1484</v>
      </c>
      <c r="F654" t="s">
        <v>1485</v>
      </c>
    </row>
    <row r="655" spans="1:8" x14ac:dyDescent="0.55000000000000004">
      <c r="A655" t="str">
        <f t="shared" si="20"/>
        <v>15</v>
      </c>
      <c r="B655" t="str">
        <f>"15.0899"</f>
        <v>15.0899</v>
      </c>
      <c r="C655" t="s">
        <v>8</v>
      </c>
      <c r="D655" t="s">
        <v>12</v>
      </c>
      <c r="E655" t="s">
        <v>1486</v>
      </c>
      <c r="F655" t="s">
        <v>1487</v>
      </c>
    </row>
    <row r="656" spans="1:8" x14ac:dyDescent="0.55000000000000004">
      <c r="A656" t="str">
        <f t="shared" si="20"/>
        <v>15</v>
      </c>
      <c r="B656" t="str">
        <f>"15.09"</f>
        <v>15.09</v>
      </c>
      <c r="C656" t="s">
        <v>8</v>
      </c>
      <c r="D656" t="s">
        <v>12</v>
      </c>
      <c r="E656" t="s">
        <v>1488</v>
      </c>
      <c r="F656" t="s">
        <v>1489</v>
      </c>
    </row>
    <row r="657" spans="1:7" x14ac:dyDescent="0.55000000000000004">
      <c r="A657" t="str">
        <f t="shared" si="20"/>
        <v>15</v>
      </c>
      <c r="B657" t="str">
        <f>"15.0901"</f>
        <v>15.0901</v>
      </c>
      <c r="C657" t="s">
        <v>8</v>
      </c>
      <c r="D657" t="s">
        <v>12</v>
      </c>
      <c r="E657" t="s">
        <v>1490</v>
      </c>
      <c r="F657" t="s">
        <v>1491</v>
      </c>
    </row>
    <row r="658" spans="1:7" x14ac:dyDescent="0.55000000000000004">
      <c r="A658" t="str">
        <f t="shared" si="20"/>
        <v>15</v>
      </c>
      <c r="B658" t="str">
        <f>"15.0903"</f>
        <v>15.0903</v>
      </c>
      <c r="C658" t="s">
        <v>8</v>
      </c>
      <c r="D658" t="s">
        <v>12</v>
      </c>
      <c r="E658" t="s">
        <v>1492</v>
      </c>
      <c r="F658" t="s">
        <v>1493</v>
      </c>
    </row>
    <row r="659" spans="1:7" x14ac:dyDescent="0.55000000000000004">
      <c r="A659" t="str">
        <f t="shared" si="20"/>
        <v>15</v>
      </c>
      <c r="B659" t="str">
        <f>"15.0999"</f>
        <v>15.0999</v>
      </c>
      <c r="C659" t="s">
        <v>8</v>
      </c>
      <c r="D659" t="s">
        <v>12</v>
      </c>
      <c r="E659" t="s">
        <v>1494</v>
      </c>
      <c r="F659" t="s">
        <v>1495</v>
      </c>
    </row>
    <row r="660" spans="1:7" x14ac:dyDescent="0.55000000000000004">
      <c r="A660" t="str">
        <f t="shared" si="20"/>
        <v>15</v>
      </c>
      <c r="B660" t="str">
        <f>"15.10"</f>
        <v>15.10</v>
      </c>
      <c r="C660" t="s">
        <v>8</v>
      </c>
      <c r="D660" t="s">
        <v>9</v>
      </c>
      <c r="E660" t="s">
        <v>1496</v>
      </c>
      <c r="F660" t="s">
        <v>1497</v>
      </c>
    </row>
    <row r="661" spans="1:7" x14ac:dyDescent="0.55000000000000004">
      <c r="A661" t="str">
        <f t="shared" si="20"/>
        <v>15</v>
      </c>
      <c r="B661" t="str">
        <f>"15.1001"</f>
        <v>15.1001</v>
      </c>
      <c r="C661" t="s">
        <v>8</v>
      </c>
      <c r="D661" t="s">
        <v>12</v>
      </c>
      <c r="E661" t="s">
        <v>1496</v>
      </c>
      <c r="F661" t="s">
        <v>1498</v>
      </c>
    </row>
    <row r="662" spans="1:7" x14ac:dyDescent="0.55000000000000004">
      <c r="A662" t="str">
        <f t="shared" si="20"/>
        <v>15</v>
      </c>
      <c r="B662" t="str">
        <f>"15.11"</f>
        <v>15.11</v>
      </c>
      <c r="C662" t="s">
        <v>8</v>
      </c>
      <c r="D662" t="s">
        <v>9</v>
      </c>
      <c r="E662" t="s">
        <v>1499</v>
      </c>
      <c r="F662" t="s">
        <v>1500</v>
      </c>
    </row>
    <row r="663" spans="1:7" x14ac:dyDescent="0.55000000000000004">
      <c r="A663" t="str">
        <f t="shared" si="20"/>
        <v>15</v>
      </c>
      <c r="B663" t="str">
        <f>"15.1102"</f>
        <v>15.1102</v>
      </c>
      <c r="C663" t="s">
        <v>8</v>
      </c>
      <c r="D663" t="s">
        <v>12</v>
      </c>
      <c r="E663" t="s">
        <v>1501</v>
      </c>
      <c r="F663" t="s">
        <v>1502</v>
      </c>
    </row>
    <row r="664" spans="1:7" x14ac:dyDescent="0.55000000000000004">
      <c r="A664" t="str">
        <f t="shared" si="20"/>
        <v>15</v>
      </c>
      <c r="B664" t="str">
        <f>"15.1103"</f>
        <v>15.1103</v>
      </c>
      <c r="C664" t="s">
        <v>8</v>
      </c>
      <c r="D664" t="s">
        <v>12</v>
      </c>
      <c r="E664" t="s">
        <v>1503</v>
      </c>
      <c r="F664" t="s">
        <v>1504</v>
      </c>
    </row>
    <row r="665" spans="1:7" x14ac:dyDescent="0.55000000000000004">
      <c r="A665" t="str">
        <f t="shared" si="20"/>
        <v>15</v>
      </c>
      <c r="B665" t="str">
        <f>"15.1199"</f>
        <v>15.1199</v>
      </c>
      <c r="C665" t="s">
        <v>8</v>
      </c>
      <c r="D665" t="s">
        <v>9</v>
      </c>
      <c r="E665" t="s">
        <v>1505</v>
      </c>
      <c r="F665" t="s">
        <v>1506</v>
      </c>
    </row>
    <row r="666" spans="1:7" x14ac:dyDescent="0.55000000000000004">
      <c r="A666" t="str">
        <f t="shared" ref="A666:A699" si="21">"15"</f>
        <v>15</v>
      </c>
      <c r="B666" t="str">
        <f>"15.12"</f>
        <v>15.12</v>
      </c>
      <c r="C666" t="s">
        <v>8</v>
      </c>
      <c r="D666" t="s">
        <v>12</v>
      </c>
      <c r="E666" t="s">
        <v>1507</v>
      </c>
      <c r="F666" t="s">
        <v>1508</v>
      </c>
    </row>
    <row r="667" spans="1:7" x14ac:dyDescent="0.55000000000000004">
      <c r="A667" t="str">
        <f t="shared" si="21"/>
        <v>15</v>
      </c>
      <c r="B667" t="str">
        <f>"15.1201"</f>
        <v>15.1201</v>
      </c>
      <c r="C667" t="s">
        <v>8</v>
      </c>
      <c r="D667" t="s">
        <v>12</v>
      </c>
      <c r="E667" t="s">
        <v>1509</v>
      </c>
      <c r="F667" t="s">
        <v>1510</v>
      </c>
    </row>
    <row r="668" spans="1:7" x14ac:dyDescent="0.55000000000000004">
      <c r="A668" t="str">
        <f t="shared" si="21"/>
        <v>15</v>
      </c>
      <c r="B668" t="str">
        <f>"15.1202"</f>
        <v>15.1202</v>
      </c>
      <c r="C668" t="s">
        <v>8</v>
      </c>
      <c r="D668" t="s">
        <v>9</v>
      </c>
      <c r="E668" t="s">
        <v>1511</v>
      </c>
      <c r="F668" t="s">
        <v>1512</v>
      </c>
      <c r="G668" t="s">
        <v>1513</v>
      </c>
    </row>
    <row r="669" spans="1:7" x14ac:dyDescent="0.55000000000000004">
      <c r="A669" t="str">
        <f t="shared" si="21"/>
        <v>15</v>
      </c>
      <c r="B669" t="str">
        <f>"15.1203"</f>
        <v>15.1203</v>
      </c>
      <c r="C669" t="s">
        <v>8</v>
      </c>
      <c r="D669" t="s">
        <v>12</v>
      </c>
      <c r="E669" t="s">
        <v>1514</v>
      </c>
      <c r="F669" t="s">
        <v>1515</v>
      </c>
    </row>
    <row r="670" spans="1:7" x14ac:dyDescent="0.55000000000000004">
      <c r="A670" t="str">
        <f t="shared" si="21"/>
        <v>15</v>
      </c>
      <c r="B670" t="str">
        <f>"15.1204"</f>
        <v>15.1204</v>
      </c>
      <c r="C670" t="s">
        <v>8</v>
      </c>
      <c r="D670" t="s">
        <v>12</v>
      </c>
      <c r="E670" t="s">
        <v>1516</v>
      </c>
      <c r="F670" t="s">
        <v>1517</v>
      </c>
    </row>
    <row r="671" spans="1:7" x14ac:dyDescent="0.55000000000000004">
      <c r="A671" t="str">
        <f t="shared" si="21"/>
        <v>15</v>
      </c>
      <c r="B671" t="str">
        <f>"15.1299"</f>
        <v>15.1299</v>
      </c>
      <c r="C671" t="s">
        <v>8</v>
      </c>
      <c r="D671" t="s">
        <v>12</v>
      </c>
      <c r="E671" t="s">
        <v>1518</v>
      </c>
      <c r="F671" t="s">
        <v>1519</v>
      </c>
    </row>
    <row r="672" spans="1:7" x14ac:dyDescent="0.55000000000000004">
      <c r="A672" t="str">
        <f t="shared" si="21"/>
        <v>15</v>
      </c>
      <c r="B672" t="str">
        <f>"15.13"</f>
        <v>15.13</v>
      </c>
      <c r="C672" t="s">
        <v>8</v>
      </c>
      <c r="D672" t="s">
        <v>12</v>
      </c>
      <c r="E672" t="s">
        <v>1520</v>
      </c>
      <c r="F672" t="s">
        <v>1521</v>
      </c>
    </row>
    <row r="673" spans="1:8" x14ac:dyDescent="0.55000000000000004">
      <c r="A673" t="str">
        <f t="shared" si="21"/>
        <v>15</v>
      </c>
      <c r="B673" t="str">
        <f>"15.1301"</f>
        <v>15.1301</v>
      </c>
      <c r="C673" t="s">
        <v>8</v>
      </c>
      <c r="D673" t="s">
        <v>12</v>
      </c>
      <c r="E673" t="s">
        <v>1522</v>
      </c>
      <c r="F673" t="s">
        <v>1523</v>
      </c>
    </row>
    <row r="674" spans="1:8" x14ac:dyDescent="0.55000000000000004">
      <c r="A674" t="str">
        <f t="shared" si="21"/>
        <v>15</v>
      </c>
      <c r="B674" t="str">
        <f>"15.1302"</f>
        <v>15.1302</v>
      </c>
      <c r="C674" t="s">
        <v>8</v>
      </c>
      <c r="D674" t="s">
        <v>12</v>
      </c>
      <c r="E674" t="s">
        <v>1524</v>
      </c>
      <c r="F674" t="s">
        <v>1525</v>
      </c>
      <c r="H674" t="s">
        <v>1526</v>
      </c>
    </row>
    <row r="675" spans="1:8" x14ac:dyDescent="0.55000000000000004">
      <c r="A675" t="str">
        <f t="shared" si="21"/>
        <v>15</v>
      </c>
      <c r="B675" t="str">
        <f>"15.1303"</f>
        <v>15.1303</v>
      </c>
      <c r="C675" t="s">
        <v>8</v>
      </c>
      <c r="D675" t="s">
        <v>12</v>
      </c>
      <c r="E675" t="s">
        <v>1527</v>
      </c>
      <c r="F675" t="s">
        <v>1528</v>
      </c>
      <c r="G675" t="s">
        <v>1529</v>
      </c>
    </row>
    <row r="676" spans="1:8" x14ac:dyDescent="0.55000000000000004">
      <c r="A676" t="str">
        <f t="shared" si="21"/>
        <v>15</v>
      </c>
      <c r="B676" t="str">
        <f>"15.1304"</f>
        <v>15.1304</v>
      </c>
      <c r="C676" t="s">
        <v>8</v>
      </c>
      <c r="D676" t="s">
        <v>12</v>
      </c>
      <c r="E676" t="s">
        <v>1530</v>
      </c>
      <c r="F676" t="s">
        <v>1531</v>
      </c>
    </row>
    <row r="677" spans="1:8" x14ac:dyDescent="0.55000000000000004">
      <c r="A677" t="str">
        <f t="shared" si="21"/>
        <v>15</v>
      </c>
      <c r="B677" t="str">
        <f>"15.1305"</f>
        <v>15.1305</v>
      </c>
      <c r="C677" t="s">
        <v>8</v>
      </c>
      <c r="D677" t="s">
        <v>12</v>
      </c>
      <c r="E677" t="s">
        <v>1532</v>
      </c>
      <c r="F677" t="s">
        <v>1533</v>
      </c>
    </row>
    <row r="678" spans="1:8" x14ac:dyDescent="0.55000000000000004">
      <c r="A678" t="str">
        <f t="shared" si="21"/>
        <v>15</v>
      </c>
      <c r="B678" t="str">
        <f>"15.1306"</f>
        <v>15.1306</v>
      </c>
      <c r="C678" t="s">
        <v>8</v>
      </c>
      <c r="D678" t="s">
        <v>12</v>
      </c>
      <c r="E678" t="s">
        <v>1534</v>
      </c>
      <c r="F678" t="s">
        <v>1535</v>
      </c>
    </row>
    <row r="679" spans="1:8" x14ac:dyDescent="0.55000000000000004">
      <c r="A679" t="str">
        <f t="shared" si="21"/>
        <v>15</v>
      </c>
      <c r="B679" t="str">
        <f>"15.1307"</f>
        <v>15.1307</v>
      </c>
      <c r="C679" t="s">
        <v>47</v>
      </c>
      <c r="D679" t="s">
        <v>12</v>
      </c>
      <c r="E679" t="s">
        <v>1536</v>
      </c>
      <c r="F679" t="s">
        <v>1537</v>
      </c>
    </row>
    <row r="680" spans="1:8" x14ac:dyDescent="0.55000000000000004">
      <c r="A680" t="str">
        <f t="shared" si="21"/>
        <v>15</v>
      </c>
      <c r="B680" t="str">
        <f>"15.1399"</f>
        <v>15.1399</v>
      </c>
      <c r="C680" t="s">
        <v>8</v>
      </c>
      <c r="D680" t="s">
        <v>12</v>
      </c>
      <c r="E680" t="s">
        <v>1538</v>
      </c>
      <c r="F680" t="s">
        <v>1539</v>
      </c>
    </row>
    <row r="681" spans="1:8" x14ac:dyDescent="0.55000000000000004">
      <c r="A681" t="str">
        <f t="shared" si="21"/>
        <v>15</v>
      </c>
      <c r="B681" t="str">
        <f>"15.14"</f>
        <v>15.14</v>
      </c>
      <c r="C681" t="s">
        <v>8</v>
      </c>
      <c r="D681" t="s">
        <v>9</v>
      </c>
      <c r="E681" t="s">
        <v>1540</v>
      </c>
      <c r="F681" t="s">
        <v>1541</v>
      </c>
    </row>
    <row r="682" spans="1:8" x14ac:dyDescent="0.55000000000000004">
      <c r="A682" t="str">
        <f t="shared" si="21"/>
        <v>15</v>
      </c>
      <c r="B682" t="str">
        <f>"15.1401"</f>
        <v>15.1401</v>
      </c>
      <c r="C682" t="s">
        <v>8</v>
      </c>
      <c r="D682" t="s">
        <v>12</v>
      </c>
      <c r="E682" t="s">
        <v>1540</v>
      </c>
      <c r="F682" t="s">
        <v>1542</v>
      </c>
    </row>
    <row r="683" spans="1:8" x14ac:dyDescent="0.55000000000000004">
      <c r="A683" t="str">
        <f t="shared" si="21"/>
        <v>15</v>
      </c>
      <c r="B683" t="str">
        <f>"15.15"</f>
        <v>15.15</v>
      </c>
      <c r="C683" t="s">
        <v>8</v>
      </c>
      <c r="D683" t="s">
        <v>12</v>
      </c>
      <c r="E683" t="s">
        <v>1543</v>
      </c>
      <c r="F683" t="s">
        <v>1544</v>
      </c>
    </row>
    <row r="684" spans="1:8" x14ac:dyDescent="0.55000000000000004">
      <c r="A684" t="str">
        <f t="shared" si="21"/>
        <v>15</v>
      </c>
      <c r="B684" t="str">
        <f>"15.1501"</f>
        <v>15.1501</v>
      </c>
      <c r="C684" t="s">
        <v>8</v>
      </c>
      <c r="D684" t="s">
        <v>12</v>
      </c>
      <c r="E684" t="s">
        <v>1545</v>
      </c>
      <c r="F684" t="s">
        <v>1546</v>
      </c>
    </row>
    <row r="685" spans="1:8" x14ac:dyDescent="0.55000000000000004">
      <c r="A685" t="str">
        <f t="shared" si="21"/>
        <v>15</v>
      </c>
      <c r="B685" t="str">
        <f>"15.1502"</f>
        <v>15.1502</v>
      </c>
      <c r="C685" t="s">
        <v>8</v>
      </c>
      <c r="D685" t="s">
        <v>12</v>
      </c>
      <c r="E685" t="s">
        <v>1547</v>
      </c>
      <c r="F685" t="s">
        <v>1548</v>
      </c>
    </row>
    <row r="686" spans="1:8" x14ac:dyDescent="0.55000000000000004">
      <c r="A686" t="str">
        <f t="shared" si="21"/>
        <v>15</v>
      </c>
      <c r="B686" t="str">
        <f>"15.1503"</f>
        <v>15.1503</v>
      </c>
      <c r="C686" t="s">
        <v>8</v>
      </c>
      <c r="D686" t="s">
        <v>12</v>
      </c>
      <c r="E686" t="s">
        <v>1549</v>
      </c>
      <c r="F686" t="s">
        <v>1550</v>
      </c>
    </row>
    <row r="687" spans="1:8" x14ac:dyDescent="0.55000000000000004">
      <c r="A687" t="str">
        <f t="shared" si="21"/>
        <v>15</v>
      </c>
      <c r="B687" t="str">
        <f>"15.1599"</f>
        <v>15.1599</v>
      </c>
      <c r="C687" t="s">
        <v>8</v>
      </c>
      <c r="D687" t="s">
        <v>12</v>
      </c>
      <c r="E687" t="s">
        <v>1551</v>
      </c>
      <c r="F687" t="s">
        <v>1552</v>
      </c>
    </row>
    <row r="688" spans="1:8" x14ac:dyDescent="0.55000000000000004">
      <c r="A688" t="str">
        <f t="shared" si="21"/>
        <v>15</v>
      </c>
      <c r="B688" t="str">
        <f>"15.16"</f>
        <v>15.16</v>
      </c>
      <c r="C688" t="s">
        <v>8</v>
      </c>
      <c r="D688" t="s">
        <v>12</v>
      </c>
      <c r="E688" t="s">
        <v>1553</v>
      </c>
      <c r="F688" t="s">
        <v>1554</v>
      </c>
    </row>
    <row r="689" spans="1:8" x14ac:dyDescent="0.55000000000000004">
      <c r="A689" t="str">
        <f t="shared" si="21"/>
        <v>15</v>
      </c>
      <c r="B689" t="str">
        <f>"15.1601"</f>
        <v>15.1601</v>
      </c>
      <c r="C689" t="s">
        <v>8</v>
      </c>
      <c r="D689" t="s">
        <v>12</v>
      </c>
      <c r="E689" t="s">
        <v>1553</v>
      </c>
      <c r="F689" t="s">
        <v>1555</v>
      </c>
      <c r="H689" t="s">
        <v>1556</v>
      </c>
    </row>
    <row r="690" spans="1:8" x14ac:dyDescent="0.55000000000000004">
      <c r="A690" t="str">
        <f t="shared" si="21"/>
        <v>15</v>
      </c>
      <c r="B690" t="str">
        <f>"15.17"</f>
        <v>15.17</v>
      </c>
      <c r="C690" t="s">
        <v>47</v>
      </c>
      <c r="D690" t="s">
        <v>12</v>
      </c>
      <c r="E690" t="s">
        <v>1557</v>
      </c>
      <c r="F690" t="s">
        <v>1558</v>
      </c>
    </row>
    <row r="691" spans="1:8" x14ac:dyDescent="0.55000000000000004">
      <c r="A691" t="str">
        <f t="shared" si="21"/>
        <v>15</v>
      </c>
      <c r="B691" t="str">
        <f>"15.1701"</f>
        <v>15.1701</v>
      </c>
      <c r="C691" t="s">
        <v>173</v>
      </c>
      <c r="D691" t="s">
        <v>9</v>
      </c>
      <c r="E691" t="s">
        <v>1559</v>
      </c>
      <c r="F691" t="s">
        <v>1560</v>
      </c>
      <c r="G691" t="s">
        <v>1561</v>
      </c>
      <c r="H691" t="s">
        <v>1562</v>
      </c>
    </row>
    <row r="692" spans="1:8" x14ac:dyDescent="0.55000000000000004">
      <c r="A692" t="str">
        <f t="shared" si="21"/>
        <v>15</v>
      </c>
      <c r="B692" t="str">
        <f>"15.1702"</f>
        <v>15.1702</v>
      </c>
      <c r="C692" t="s">
        <v>47</v>
      </c>
      <c r="D692" t="s">
        <v>12</v>
      </c>
      <c r="E692" t="s">
        <v>1563</v>
      </c>
      <c r="F692" t="s">
        <v>1564</v>
      </c>
      <c r="G692" t="s">
        <v>1565</v>
      </c>
    </row>
    <row r="693" spans="1:8" x14ac:dyDescent="0.55000000000000004">
      <c r="A693" t="str">
        <f t="shared" si="21"/>
        <v>15</v>
      </c>
      <c r="B693" t="str">
        <f>"15.1703"</f>
        <v>15.1703</v>
      </c>
      <c r="C693" t="s">
        <v>173</v>
      </c>
      <c r="D693" t="s">
        <v>12</v>
      </c>
      <c r="E693" t="s">
        <v>1425</v>
      </c>
      <c r="F693" t="s">
        <v>1566</v>
      </c>
      <c r="G693" t="s">
        <v>1567</v>
      </c>
    </row>
    <row r="694" spans="1:8" x14ac:dyDescent="0.55000000000000004">
      <c r="A694" t="str">
        <f t="shared" si="21"/>
        <v>15</v>
      </c>
      <c r="B694" t="str">
        <f>"15.1704"</f>
        <v>15.1704</v>
      </c>
      <c r="C694" t="s">
        <v>47</v>
      </c>
      <c r="D694" t="s">
        <v>12</v>
      </c>
      <c r="E694" t="s">
        <v>1568</v>
      </c>
      <c r="F694" t="s">
        <v>1569</v>
      </c>
      <c r="G694" t="s">
        <v>1570</v>
      </c>
      <c r="H694" t="s">
        <v>1571</v>
      </c>
    </row>
    <row r="695" spans="1:8" x14ac:dyDescent="0.55000000000000004">
      <c r="A695" t="str">
        <f t="shared" si="21"/>
        <v>15</v>
      </c>
      <c r="B695" t="str">
        <f>"15.1705"</f>
        <v>15.1705</v>
      </c>
      <c r="C695" t="s">
        <v>47</v>
      </c>
      <c r="D695" t="s">
        <v>12</v>
      </c>
      <c r="E695" t="s">
        <v>1572</v>
      </c>
      <c r="F695" t="s">
        <v>1573</v>
      </c>
      <c r="G695" t="s">
        <v>1574</v>
      </c>
    </row>
    <row r="696" spans="1:8" x14ac:dyDescent="0.55000000000000004">
      <c r="A696" t="str">
        <f t="shared" si="21"/>
        <v>15</v>
      </c>
      <c r="B696" t="str">
        <f>"15.1706"</f>
        <v>15.1706</v>
      </c>
      <c r="C696" t="s">
        <v>47</v>
      </c>
      <c r="D696" t="s">
        <v>12</v>
      </c>
      <c r="E696" t="s">
        <v>1575</v>
      </c>
      <c r="F696" t="s">
        <v>1576</v>
      </c>
      <c r="G696" t="s">
        <v>1577</v>
      </c>
    </row>
    <row r="697" spans="1:8" x14ac:dyDescent="0.55000000000000004">
      <c r="A697" t="str">
        <f t="shared" si="21"/>
        <v>15</v>
      </c>
      <c r="B697" t="str">
        <f>"15.1799"</f>
        <v>15.1799</v>
      </c>
      <c r="C697" t="s">
        <v>47</v>
      </c>
      <c r="D697" t="s">
        <v>12</v>
      </c>
      <c r="E697" t="s">
        <v>1578</v>
      </c>
      <c r="F697" t="s">
        <v>1579</v>
      </c>
      <c r="G697" t="s">
        <v>1580</v>
      </c>
    </row>
    <row r="698" spans="1:8" x14ac:dyDescent="0.55000000000000004">
      <c r="A698" t="str">
        <f t="shared" si="21"/>
        <v>15</v>
      </c>
      <c r="B698" t="str">
        <f>"15.99"</f>
        <v>15.99</v>
      </c>
      <c r="C698" t="s">
        <v>8</v>
      </c>
      <c r="D698" t="s">
        <v>9</v>
      </c>
      <c r="E698" t="s">
        <v>1581</v>
      </c>
      <c r="F698" t="s">
        <v>1582</v>
      </c>
    </row>
    <row r="699" spans="1:8" x14ac:dyDescent="0.55000000000000004">
      <c r="A699" t="str">
        <f t="shared" si="21"/>
        <v>15</v>
      </c>
      <c r="B699" t="str">
        <f>"15.9999"</f>
        <v>15.9999</v>
      </c>
      <c r="C699" t="s">
        <v>8</v>
      </c>
      <c r="D699" t="s">
        <v>9</v>
      </c>
      <c r="E699" t="s">
        <v>1581</v>
      </c>
      <c r="F699" t="s">
        <v>1583</v>
      </c>
      <c r="H699" t="s">
        <v>1584</v>
      </c>
    </row>
    <row r="700" spans="1:8" x14ac:dyDescent="0.55000000000000004">
      <c r="A700" t="str">
        <f>"16"</f>
        <v>16</v>
      </c>
      <c r="B700" t="str">
        <f>"16"</f>
        <v>16</v>
      </c>
      <c r="C700" t="s">
        <v>8</v>
      </c>
      <c r="D700" t="s">
        <v>12</v>
      </c>
      <c r="E700" t="s">
        <v>1585</v>
      </c>
      <c r="F700" t="s">
        <v>1586</v>
      </c>
    </row>
    <row r="701" spans="1:8" x14ac:dyDescent="0.55000000000000004">
      <c r="A701" t="str">
        <f t="shared" ref="A701:A732" si="22">"16"</f>
        <v>16</v>
      </c>
      <c r="B701" t="str">
        <f>"16.01"</f>
        <v>16.01</v>
      </c>
      <c r="C701" t="s">
        <v>8</v>
      </c>
      <c r="D701" t="s">
        <v>12</v>
      </c>
      <c r="E701" t="s">
        <v>1587</v>
      </c>
      <c r="F701" t="s">
        <v>1588</v>
      </c>
    </row>
    <row r="702" spans="1:8" x14ac:dyDescent="0.55000000000000004">
      <c r="A702" t="str">
        <f t="shared" si="22"/>
        <v>16</v>
      </c>
      <c r="B702" t="str">
        <f>"16.0101"</f>
        <v>16.0101</v>
      </c>
      <c r="C702" t="s">
        <v>8</v>
      </c>
      <c r="D702" t="s">
        <v>12</v>
      </c>
      <c r="E702" t="s">
        <v>1589</v>
      </c>
      <c r="F702" t="s">
        <v>1590</v>
      </c>
      <c r="G702" t="s">
        <v>1591</v>
      </c>
    </row>
    <row r="703" spans="1:8" x14ac:dyDescent="0.55000000000000004">
      <c r="A703" t="str">
        <f t="shared" si="22"/>
        <v>16</v>
      </c>
      <c r="B703" t="str">
        <f>"16.0102"</f>
        <v>16.0102</v>
      </c>
      <c r="C703" t="s">
        <v>8</v>
      </c>
      <c r="D703" t="s">
        <v>12</v>
      </c>
      <c r="E703" t="s">
        <v>1592</v>
      </c>
      <c r="F703" t="s">
        <v>1593</v>
      </c>
      <c r="G703" t="s">
        <v>1594</v>
      </c>
    </row>
    <row r="704" spans="1:8" x14ac:dyDescent="0.55000000000000004">
      <c r="A704" t="str">
        <f t="shared" si="22"/>
        <v>16</v>
      </c>
      <c r="B704" t="str">
        <f>"16.0103"</f>
        <v>16.0103</v>
      </c>
      <c r="C704" t="s">
        <v>8</v>
      </c>
      <c r="D704" t="s">
        <v>12</v>
      </c>
      <c r="E704" t="s">
        <v>1595</v>
      </c>
      <c r="F704" t="s">
        <v>1596</v>
      </c>
      <c r="G704" t="s">
        <v>1597</v>
      </c>
    </row>
    <row r="705" spans="1:7" x14ac:dyDescent="0.55000000000000004">
      <c r="A705" t="str">
        <f t="shared" si="22"/>
        <v>16</v>
      </c>
      <c r="B705" t="str">
        <f>"16.0104"</f>
        <v>16.0104</v>
      </c>
      <c r="C705" t="s">
        <v>8</v>
      </c>
      <c r="D705" t="s">
        <v>12</v>
      </c>
      <c r="E705" t="s">
        <v>1598</v>
      </c>
      <c r="F705" t="s">
        <v>1599</v>
      </c>
      <c r="G705" t="s">
        <v>1600</v>
      </c>
    </row>
    <row r="706" spans="1:7" x14ac:dyDescent="0.55000000000000004">
      <c r="A706" t="str">
        <f t="shared" si="22"/>
        <v>16</v>
      </c>
      <c r="B706" t="str">
        <f>"16.0105"</f>
        <v>16.0105</v>
      </c>
      <c r="C706" t="s">
        <v>8</v>
      </c>
      <c r="D706" t="s">
        <v>12</v>
      </c>
      <c r="E706" t="s">
        <v>1601</v>
      </c>
      <c r="F706" t="s">
        <v>1602</v>
      </c>
    </row>
    <row r="707" spans="1:7" x14ac:dyDescent="0.55000000000000004">
      <c r="A707" t="str">
        <f t="shared" si="22"/>
        <v>16</v>
      </c>
      <c r="B707" t="str">
        <f>"16.0199"</f>
        <v>16.0199</v>
      </c>
      <c r="C707" t="s">
        <v>8</v>
      </c>
      <c r="D707" t="s">
        <v>12</v>
      </c>
      <c r="E707" t="s">
        <v>1603</v>
      </c>
      <c r="F707" t="s">
        <v>1604</v>
      </c>
    </row>
    <row r="708" spans="1:7" x14ac:dyDescent="0.55000000000000004">
      <c r="A708" t="str">
        <f t="shared" si="22"/>
        <v>16</v>
      </c>
      <c r="B708" t="str">
        <f>"16.02"</f>
        <v>16.02</v>
      </c>
      <c r="C708" t="s">
        <v>8</v>
      </c>
      <c r="D708" t="s">
        <v>12</v>
      </c>
      <c r="E708" t="s">
        <v>1605</v>
      </c>
      <c r="F708" t="s">
        <v>1606</v>
      </c>
    </row>
    <row r="709" spans="1:7" x14ac:dyDescent="0.55000000000000004">
      <c r="A709" t="str">
        <f t="shared" si="22"/>
        <v>16</v>
      </c>
      <c r="B709" t="str">
        <f>"16.0201"</f>
        <v>16.0201</v>
      </c>
      <c r="C709" t="s">
        <v>8</v>
      </c>
      <c r="D709" t="s">
        <v>12</v>
      </c>
      <c r="E709" t="s">
        <v>1605</v>
      </c>
      <c r="F709" t="s">
        <v>1607</v>
      </c>
    </row>
    <row r="710" spans="1:7" x14ac:dyDescent="0.55000000000000004">
      <c r="A710" t="str">
        <f t="shared" si="22"/>
        <v>16</v>
      </c>
      <c r="B710" t="str">
        <f>"16.03"</f>
        <v>16.03</v>
      </c>
      <c r="C710" t="s">
        <v>8</v>
      </c>
      <c r="D710" t="s">
        <v>12</v>
      </c>
      <c r="E710" t="s">
        <v>1608</v>
      </c>
      <c r="F710" t="s">
        <v>1609</v>
      </c>
    </row>
    <row r="711" spans="1:7" x14ac:dyDescent="0.55000000000000004">
      <c r="A711" t="str">
        <f t="shared" si="22"/>
        <v>16</v>
      </c>
      <c r="B711" t="str">
        <f>"16.0300"</f>
        <v>16.0300</v>
      </c>
      <c r="C711" t="s">
        <v>8</v>
      </c>
      <c r="D711" t="s">
        <v>12</v>
      </c>
      <c r="E711" t="s">
        <v>1610</v>
      </c>
      <c r="F711" t="s">
        <v>1611</v>
      </c>
    </row>
    <row r="712" spans="1:7" x14ac:dyDescent="0.55000000000000004">
      <c r="A712" t="str">
        <f t="shared" si="22"/>
        <v>16</v>
      </c>
      <c r="B712" t="str">
        <f>"16.0301"</f>
        <v>16.0301</v>
      </c>
      <c r="C712" t="s">
        <v>8</v>
      </c>
      <c r="D712" t="s">
        <v>12</v>
      </c>
      <c r="E712" t="s">
        <v>1612</v>
      </c>
      <c r="F712" t="s">
        <v>1613</v>
      </c>
    </row>
    <row r="713" spans="1:7" x14ac:dyDescent="0.55000000000000004">
      <c r="A713" t="str">
        <f t="shared" si="22"/>
        <v>16</v>
      </c>
      <c r="B713" t="str">
        <f>"16.0302"</f>
        <v>16.0302</v>
      </c>
      <c r="C713" t="s">
        <v>8</v>
      </c>
      <c r="D713" t="s">
        <v>12</v>
      </c>
      <c r="E713" t="s">
        <v>1614</v>
      </c>
      <c r="F713" t="s">
        <v>1615</v>
      </c>
    </row>
    <row r="714" spans="1:7" x14ac:dyDescent="0.55000000000000004">
      <c r="A714" t="str">
        <f t="shared" si="22"/>
        <v>16</v>
      </c>
      <c r="B714" t="str">
        <f>"16.0303"</f>
        <v>16.0303</v>
      </c>
      <c r="C714" t="s">
        <v>8</v>
      </c>
      <c r="D714" t="s">
        <v>12</v>
      </c>
      <c r="E714" t="s">
        <v>1616</v>
      </c>
      <c r="F714" t="s">
        <v>1617</v>
      </c>
    </row>
    <row r="715" spans="1:7" x14ac:dyDescent="0.55000000000000004">
      <c r="A715" t="str">
        <f t="shared" si="22"/>
        <v>16</v>
      </c>
      <c r="B715" t="str">
        <f>"16.0304"</f>
        <v>16.0304</v>
      </c>
      <c r="C715" t="s">
        <v>8</v>
      </c>
      <c r="D715" t="s">
        <v>12</v>
      </c>
      <c r="E715" t="s">
        <v>1618</v>
      </c>
      <c r="F715" t="s">
        <v>1619</v>
      </c>
    </row>
    <row r="716" spans="1:7" x14ac:dyDescent="0.55000000000000004">
      <c r="A716" t="str">
        <f t="shared" si="22"/>
        <v>16</v>
      </c>
      <c r="B716" t="str">
        <f>"16.0399"</f>
        <v>16.0399</v>
      </c>
      <c r="C716" t="s">
        <v>8</v>
      </c>
      <c r="D716" t="s">
        <v>12</v>
      </c>
      <c r="E716" t="s">
        <v>1620</v>
      </c>
      <c r="F716" t="s">
        <v>1621</v>
      </c>
    </row>
    <row r="717" spans="1:7" x14ac:dyDescent="0.55000000000000004">
      <c r="A717" t="str">
        <f t="shared" si="22"/>
        <v>16</v>
      </c>
      <c r="B717" t="str">
        <f>"16.04"</f>
        <v>16.04</v>
      </c>
      <c r="C717" t="s">
        <v>8</v>
      </c>
      <c r="D717" t="s">
        <v>12</v>
      </c>
      <c r="E717" t="s">
        <v>1622</v>
      </c>
      <c r="F717" t="s">
        <v>1623</v>
      </c>
    </row>
    <row r="718" spans="1:7" x14ac:dyDescent="0.55000000000000004">
      <c r="A718" t="str">
        <f t="shared" si="22"/>
        <v>16</v>
      </c>
      <c r="B718" t="str">
        <f>"16.0400"</f>
        <v>16.0400</v>
      </c>
      <c r="C718" t="s">
        <v>8</v>
      </c>
      <c r="D718" t="s">
        <v>12</v>
      </c>
      <c r="E718" t="s">
        <v>1624</v>
      </c>
      <c r="F718" t="s">
        <v>1625</v>
      </c>
    </row>
    <row r="719" spans="1:7" x14ac:dyDescent="0.55000000000000004">
      <c r="A719" t="str">
        <f t="shared" si="22"/>
        <v>16</v>
      </c>
      <c r="B719" t="str">
        <f>"16.0401"</f>
        <v>16.0401</v>
      </c>
      <c r="C719" t="s">
        <v>8</v>
      </c>
      <c r="D719" t="s">
        <v>12</v>
      </c>
      <c r="E719" t="s">
        <v>1626</v>
      </c>
      <c r="F719" t="s">
        <v>1627</v>
      </c>
    </row>
    <row r="720" spans="1:7" x14ac:dyDescent="0.55000000000000004">
      <c r="A720" t="str">
        <f t="shared" si="22"/>
        <v>16</v>
      </c>
      <c r="B720" t="str">
        <f>"16.0402"</f>
        <v>16.0402</v>
      </c>
      <c r="C720" t="s">
        <v>8</v>
      </c>
      <c r="D720" t="s">
        <v>12</v>
      </c>
      <c r="E720" t="s">
        <v>1628</v>
      </c>
      <c r="F720" t="s">
        <v>1629</v>
      </c>
    </row>
    <row r="721" spans="1:6" x14ac:dyDescent="0.55000000000000004">
      <c r="A721" t="str">
        <f t="shared" si="22"/>
        <v>16</v>
      </c>
      <c r="B721" t="str">
        <f>"16.0404"</f>
        <v>16.0404</v>
      </c>
      <c r="C721" t="s">
        <v>8</v>
      </c>
      <c r="D721" t="s">
        <v>12</v>
      </c>
      <c r="E721" t="s">
        <v>1630</v>
      </c>
      <c r="F721" t="s">
        <v>1631</v>
      </c>
    </row>
    <row r="722" spans="1:6" x14ac:dyDescent="0.55000000000000004">
      <c r="A722" t="str">
        <f t="shared" si="22"/>
        <v>16</v>
      </c>
      <c r="B722" t="str">
        <f>"16.0405"</f>
        <v>16.0405</v>
      </c>
      <c r="C722" t="s">
        <v>8</v>
      </c>
      <c r="D722" t="s">
        <v>12</v>
      </c>
      <c r="E722" t="s">
        <v>1632</v>
      </c>
      <c r="F722" t="s">
        <v>1633</v>
      </c>
    </row>
    <row r="723" spans="1:6" x14ac:dyDescent="0.55000000000000004">
      <c r="A723" t="str">
        <f t="shared" si="22"/>
        <v>16</v>
      </c>
      <c r="B723" t="str">
        <f>"16.0406"</f>
        <v>16.0406</v>
      </c>
      <c r="C723" t="s">
        <v>8</v>
      </c>
      <c r="D723" t="s">
        <v>12</v>
      </c>
      <c r="E723" t="s">
        <v>1634</v>
      </c>
      <c r="F723" t="s">
        <v>1635</v>
      </c>
    </row>
    <row r="724" spans="1:6" x14ac:dyDescent="0.55000000000000004">
      <c r="A724" t="str">
        <f t="shared" si="22"/>
        <v>16</v>
      </c>
      <c r="B724" t="str">
        <f>"16.0407"</f>
        <v>16.0407</v>
      </c>
      <c r="C724" t="s">
        <v>8</v>
      </c>
      <c r="D724" t="s">
        <v>12</v>
      </c>
      <c r="E724" t="s">
        <v>1636</v>
      </c>
      <c r="F724" t="s">
        <v>1637</v>
      </c>
    </row>
    <row r="725" spans="1:6" x14ac:dyDescent="0.55000000000000004">
      <c r="A725" t="str">
        <f t="shared" si="22"/>
        <v>16</v>
      </c>
      <c r="B725" t="str">
        <f>"16.0408"</f>
        <v>16.0408</v>
      </c>
      <c r="C725" t="s">
        <v>8</v>
      </c>
      <c r="D725" t="s">
        <v>12</v>
      </c>
      <c r="E725" t="s">
        <v>1638</v>
      </c>
      <c r="F725" t="s">
        <v>1639</v>
      </c>
    </row>
    <row r="726" spans="1:6" x14ac:dyDescent="0.55000000000000004">
      <c r="A726" t="str">
        <f t="shared" si="22"/>
        <v>16</v>
      </c>
      <c r="B726" t="str">
        <f>"16.0409"</f>
        <v>16.0409</v>
      </c>
      <c r="C726" t="s">
        <v>8</v>
      </c>
      <c r="D726" t="s">
        <v>12</v>
      </c>
      <c r="E726" t="s">
        <v>1640</v>
      </c>
      <c r="F726" t="s">
        <v>1641</v>
      </c>
    </row>
    <row r="727" spans="1:6" x14ac:dyDescent="0.55000000000000004">
      <c r="A727" t="str">
        <f t="shared" si="22"/>
        <v>16</v>
      </c>
      <c r="B727" t="str">
        <f>"16.0410"</f>
        <v>16.0410</v>
      </c>
      <c r="C727" t="s">
        <v>8</v>
      </c>
      <c r="D727" t="s">
        <v>12</v>
      </c>
      <c r="E727" t="s">
        <v>1642</v>
      </c>
      <c r="F727" t="s">
        <v>1643</v>
      </c>
    </row>
    <row r="728" spans="1:6" x14ac:dyDescent="0.55000000000000004">
      <c r="A728" t="str">
        <f t="shared" si="22"/>
        <v>16</v>
      </c>
      <c r="B728" t="str">
        <f>"16.0499"</f>
        <v>16.0499</v>
      </c>
      <c r="C728" t="s">
        <v>8</v>
      </c>
      <c r="D728" t="s">
        <v>12</v>
      </c>
      <c r="E728" t="s">
        <v>1644</v>
      </c>
      <c r="F728" t="s">
        <v>1645</v>
      </c>
    </row>
    <row r="729" spans="1:6" x14ac:dyDescent="0.55000000000000004">
      <c r="A729" t="str">
        <f t="shared" si="22"/>
        <v>16</v>
      </c>
      <c r="B729" t="str">
        <f>"16.05"</f>
        <v>16.05</v>
      </c>
      <c r="C729" t="s">
        <v>8</v>
      </c>
      <c r="D729" t="s">
        <v>12</v>
      </c>
      <c r="E729" t="s">
        <v>1646</v>
      </c>
      <c r="F729" t="s">
        <v>1647</v>
      </c>
    </row>
    <row r="730" spans="1:6" x14ac:dyDescent="0.55000000000000004">
      <c r="A730" t="str">
        <f t="shared" si="22"/>
        <v>16</v>
      </c>
      <c r="B730" t="str">
        <f>"16.0500"</f>
        <v>16.0500</v>
      </c>
      <c r="C730" t="s">
        <v>8</v>
      </c>
      <c r="D730" t="s">
        <v>12</v>
      </c>
      <c r="E730" t="s">
        <v>1648</v>
      </c>
      <c r="F730" t="s">
        <v>1649</v>
      </c>
    </row>
    <row r="731" spans="1:6" x14ac:dyDescent="0.55000000000000004">
      <c r="A731" t="str">
        <f t="shared" si="22"/>
        <v>16</v>
      </c>
      <c r="B731" t="str">
        <f>"16.0501"</f>
        <v>16.0501</v>
      </c>
      <c r="C731" t="s">
        <v>8</v>
      </c>
      <c r="D731" t="s">
        <v>12</v>
      </c>
      <c r="E731" t="s">
        <v>1650</v>
      </c>
      <c r="F731" t="s">
        <v>1651</v>
      </c>
    </row>
    <row r="732" spans="1:6" x14ac:dyDescent="0.55000000000000004">
      <c r="A732" t="str">
        <f t="shared" si="22"/>
        <v>16</v>
      </c>
      <c r="B732" t="str">
        <f>"16.0502"</f>
        <v>16.0502</v>
      </c>
      <c r="C732" t="s">
        <v>8</v>
      </c>
      <c r="D732" t="s">
        <v>12</v>
      </c>
      <c r="E732" t="s">
        <v>1652</v>
      </c>
      <c r="F732" t="s">
        <v>1653</v>
      </c>
    </row>
    <row r="733" spans="1:6" x14ac:dyDescent="0.55000000000000004">
      <c r="A733" t="str">
        <f t="shared" ref="A733:A764" si="23">"16"</f>
        <v>16</v>
      </c>
      <c r="B733" t="str">
        <f>"16.0503"</f>
        <v>16.0503</v>
      </c>
      <c r="C733" t="s">
        <v>8</v>
      </c>
      <c r="D733" t="s">
        <v>12</v>
      </c>
      <c r="E733" t="s">
        <v>1654</v>
      </c>
      <c r="F733" t="s">
        <v>1655</v>
      </c>
    </row>
    <row r="734" spans="1:6" x14ac:dyDescent="0.55000000000000004">
      <c r="A734" t="str">
        <f t="shared" si="23"/>
        <v>16</v>
      </c>
      <c r="B734" t="str">
        <f>"16.0504"</f>
        <v>16.0504</v>
      </c>
      <c r="C734" t="s">
        <v>8</v>
      </c>
      <c r="D734" t="s">
        <v>12</v>
      </c>
      <c r="E734" t="s">
        <v>1656</v>
      </c>
      <c r="F734" t="s">
        <v>1657</v>
      </c>
    </row>
    <row r="735" spans="1:6" x14ac:dyDescent="0.55000000000000004">
      <c r="A735" t="str">
        <f t="shared" si="23"/>
        <v>16</v>
      </c>
      <c r="B735" t="str">
        <f>"16.0505"</f>
        <v>16.0505</v>
      </c>
      <c r="C735" t="s">
        <v>8</v>
      </c>
      <c r="D735" t="s">
        <v>12</v>
      </c>
      <c r="E735" t="s">
        <v>1658</v>
      </c>
      <c r="F735" t="s">
        <v>1659</v>
      </c>
    </row>
    <row r="736" spans="1:6" x14ac:dyDescent="0.55000000000000004">
      <c r="A736" t="str">
        <f t="shared" si="23"/>
        <v>16</v>
      </c>
      <c r="B736" t="str">
        <f>"16.0506"</f>
        <v>16.0506</v>
      </c>
      <c r="C736" t="s">
        <v>8</v>
      </c>
      <c r="D736" t="s">
        <v>12</v>
      </c>
      <c r="E736" t="s">
        <v>1660</v>
      </c>
      <c r="F736" t="s">
        <v>1661</v>
      </c>
    </row>
    <row r="737" spans="1:6" x14ac:dyDescent="0.55000000000000004">
      <c r="A737" t="str">
        <f t="shared" si="23"/>
        <v>16</v>
      </c>
      <c r="B737" t="str">
        <f>"16.0599"</f>
        <v>16.0599</v>
      </c>
      <c r="C737" t="s">
        <v>8</v>
      </c>
      <c r="D737" t="s">
        <v>12</v>
      </c>
      <c r="E737" t="s">
        <v>1662</v>
      </c>
      <c r="F737" t="s">
        <v>1663</v>
      </c>
    </row>
    <row r="738" spans="1:6" x14ac:dyDescent="0.55000000000000004">
      <c r="A738" t="str">
        <f t="shared" si="23"/>
        <v>16</v>
      </c>
      <c r="B738" t="str">
        <f>"16.06"</f>
        <v>16.06</v>
      </c>
      <c r="C738" t="s">
        <v>8</v>
      </c>
      <c r="D738" t="s">
        <v>12</v>
      </c>
      <c r="E738" t="s">
        <v>1664</v>
      </c>
      <c r="F738" t="s">
        <v>1665</v>
      </c>
    </row>
    <row r="739" spans="1:6" x14ac:dyDescent="0.55000000000000004">
      <c r="A739" t="str">
        <f t="shared" si="23"/>
        <v>16</v>
      </c>
      <c r="B739" t="str">
        <f>"16.0601"</f>
        <v>16.0601</v>
      </c>
      <c r="C739" t="s">
        <v>8</v>
      </c>
      <c r="D739" t="s">
        <v>12</v>
      </c>
      <c r="E739" t="s">
        <v>1664</v>
      </c>
      <c r="F739" t="s">
        <v>1666</v>
      </c>
    </row>
    <row r="740" spans="1:6" x14ac:dyDescent="0.55000000000000004">
      <c r="A740" t="str">
        <f t="shared" si="23"/>
        <v>16</v>
      </c>
      <c r="B740" t="str">
        <f>"16.07"</f>
        <v>16.07</v>
      </c>
      <c r="C740" t="s">
        <v>8</v>
      </c>
      <c r="D740" t="s">
        <v>12</v>
      </c>
      <c r="E740" t="s">
        <v>1667</v>
      </c>
      <c r="F740" t="s">
        <v>1668</v>
      </c>
    </row>
    <row r="741" spans="1:6" x14ac:dyDescent="0.55000000000000004">
      <c r="A741" t="str">
        <f t="shared" si="23"/>
        <v>16</v>
      </c>
      <c r="B741" t="str">
        <f>"16.0700"</f>
        <v>16.0700</v>
      </c>
      <c r="C741" t="s">
        <v>8</v>
      </c>
      <c r="D741" t="s">
        <v>12</v>
      </c>
      <c r="E741" t="s">
        <v>1669</v>
      </c>
      <c r="F741" t="s">
        <v>1670</v>
      </c>
    </row>
    <row r="742" spans="1:6" x14ac:dyDescent="0.55000000000000004">
      <c r="A742" t="str">
        <f t="shared" si="23"/>
        <v>16</v>
      </c>
      <c r="B742" t="str">
        <f>"16.0701"</f>
        <v>16.0701</v>
      </c>
      <c r="C742" t="s">
        <v>8</v>
      </c>
      <c r="D742" t="s">
        <v>12</v>
      </c>
      <c r="E742" t="s">
        <v>1671</v>
      </c>
      <c r="F742" t="s">
        <v>1672</v>
      </c>
    </row>
    <row r="743" spans="1:6" x14ac:dyDescent="0.55000000000000004">
      <c r="A743" t="str">
        <f t="shared" si="23"/>
        <v>16</v>
      </c>
      <c r="B743" t="str">
        <f>"16.0702"</f>
        <v>16.0702</v>
      </c>
      <c r="C743" t="s">
        <v>8</v>
      </c>
      <c r="D743" t="s">
        <v>12</v>
      </c>
      <c r="E743" t="s">
        <v>1673</v>
      </c>
      <c r="F743" t="s">
        <v>1674</v>
      </c>
    </row>
    <row r="744" spans="1:6" x14ac:dyDescent="0.55000000000000004">
      <c r="A744" t="str">
        <f t="shared" si="23"/>
        <v>16</v>
      </c>
      <c r="B744" t="str">
        <f>"16.0704"</f>
        <v>16.0704</v>
      </c>
      <c r="C744" t="s">
        <v>8</v>
      </c>
      <c r="D744" t="s">
        <v>12</v>
      </c>
      <c r="E744" t="s">
        <v>1675</v>
      </c>
      <c r="F744" t="s">
        <v>1676</v>
      </c>
    </row>
    <row r="745" spans="1:6" x14ac:dyDescent="0.55000000000000004">
      <c r="A745" t="str">
        <f t="shared" si="23"/>
        <v>16</v>
      </c>
      <c r="B745" t="str">
        <f>"16.0705"</f>
        <v>16.0705</v>
      </c>
      <c r="C745" t="s">
        <v>8</v>
      </c>
      <c r="D745" t="s">
        <v>12</v>
      </c>
      <c r="E745" t="s">
        <v>1677</v>
      </c>
      <c r="F745" t="s">
        <v>1678</v>
      </c>
    </row>
    <row r="746" spans="1:6" x14ac:dyDescent="0.55000000000000004">
      <c r="A746" t="str">
        <f t="shared" si="23"/>
        <v>16</v>
      </c>
      <c r="B746" t="str">
        <f>"16.0706"</f>
        <v>16.0706</v>
      </c>
      <c r="C746" t="s">
        <v>8</v>
      </c>
      <c r="D746" t="s">
        <v>12</v>
      </c>
      <c r="E746" t="s">
        <v>1679</v>
      </c>
      <c r="F746" t="s">
        <v>1680</v>
      </c>
    </row>
    <row r="747" spans="1:6" x14ac:dyDescent="0.55000000000000004">
      <c r="A747" t="str">
        <f t="shared" si="23"/>
        <v>16</v>
      </c>
      <c r="B747" t="str">
        <f>"16.0707"</f>
        <v>16.0707</v>
      </c>
      <c r="C747" t="s">
        <v>8</v>
      </c>
      <c r="D747" t="s">
        <v>12</v>
      </c>
      <c r="E747" t="s">
        <v>1681</v>
      </c>
      <c r="F747" t="s">
        <v>1682</v>
      </c>
    </row>
    <row r="748" spans="1:6" x14ac:dyDescent="0.55000000000000004">
      <c r="A748" t="str">
        <f t="shared" si="23"/>
        <v>16</v>
      </c>
      <c r="B748" t="str">
        <f>"16.0799"</f>
        <v>16.0799</v>
      </c>
      <c r="C748" t="s">
        <v>8</v>
      </c>
      <c r="D748" t="s">
        <v>12</v>
      </c>
      <c r="E748" t="s">
        <v>1683</v>
      </c>
      <c r="F748" t="s">
        <v>1684</v>
      </c>
    </row>
    <row r="749" spans="1:6" x14ac:dyDescent="0.55000000000000004">
      <c r="A749" t="str">
        <f t="shared" si="23"/>
        <v>16</v>
      </c>
      <c r="B749" t="str">
        <f>"16.08"</f>
        <v>16.08</v>
      </c>
      <c r="C749" t="s">
        <v>8</v>
      </c>
      <c r="D749" t="s">
        <v>12</v>
      </c>
      <c r="E749" t="s">
        <v>1685</v>
      </c>
      <c r="F749" t="s">
        <v>1686</v>
      </c>
    </row>
    <row r="750" spans="1:6" x14ac:dyDescent="0.55000000000000004">
      <c r="A750" t="str">
        <f t="shared" si="23"/>
        <v>16</v>
      </c>
      <c r="B750" t="str">
        <f>"16.0801"</f>
        <v>16.0801</v>
      </c>
      <c r="C750" t="s">
        <v>8</v>
      </c>
      <c r="D750" t="s">
        <v>12</v>
      </c>
      <c r="E750" t="s">
        <v>1687</v>
      </c>
      <c r="F750" t="s">
        <v>1688</v>
      </c>
    </row>
    <row r="751" spans="1:6" x14ac:dyDescent="0.55000000000000004">
      <c r="A751" t="str">
        <f t="shared" si="23"/>
        <v>16</v>
      </c>
      <c r="B751" t="str">
        <f>"16.09"</f>
        <v>16.09</v>
      </c>
      <c r="C751" t="s">
        <v>8</v>
      </c>
      <c r="D751" t="s">
        <v>12</v>
      </c>
      <c r="E751" t="s">
        <v>1689</v>
      </c>
      <c r="F751" t="s">
        <v>1690</v>
      </c>
    </row>
    <row r="752" spans="1:6" x14ac:dyDescent="0.55000000000000004">
      <c r="A752" t="str">
        <f t="shared" si="23"/>
        <v>16</v>
      </c>
      <c r="B752" t="str">
        <f>"16.0900"</f>
        <v>16.0900</v>
      </c>
      <c r="C752" t="s">
        <v>8</v>
      </c>
      <c r="D752" t="s">
        <v>12</v>
      </c>
      <c r="E752" t="s">
        <v>1691</v>
      </c>
      <c r="F752" t="s">
        <v>1692</v>
      </c>
    </row>
    <row r="753" spans="1:6" x14ac:dyDescent="0.55000000000000004">
      <c r="A753" t="str">
        <f t="shared" si="23"/>
        <v>16</v>
      </c>
      <c r="B753" t="str">
        <f>"16.0901"</f>
        <v>16.0901</v>
      </c>
      <c r="C753" t="s">
        <v>8</v>
      </c>
      <c r="D753" t="s">
        <v>12</v>
      </c>
      <c r="E753" t="s">
        <v>1693</v>
      </c>
      <c r="F753" t="s">
        <v>1694</v>
      </c>
    </row>
    <row r="754" spans="1:6" x14ac:dyDescent="0.55000000000000004">
      <c r="A754" t="str">
        <f t="shared" si="23"/>
        <v>16</v>
      </c>
      <c r="B754" t="str">
        <f>"16.0902"</f>
        <v>16.0902</v>
      </c>
      <c r="C754" t="s">
        <v>8</v>
      </c>
      <c r="D754" t="s">
        <v>12</v>
      </c>
      <c r="E754" t="s">
        <v>1695</v>
      </c>
      <c r="F754" t="s">
        <v>1696</v>
      </c>
    </row>
    <row r="755" spans="1:6" x14ac:dyDescent="0.55000000000000004">
      <c r="A755" t="str">
        <f t="shared" si="23"/>
        <v>16</v>
      </c>
      <c r="B755" t="str">
        <f>"16.0904"</f>
        <v>16.0904</v>
      </c>
      <c r="C755" t="s">
        <v>8</v>
      </c>
      <c r="D755" t="s">
        <v>12</v>
      </c>
      <c r="E755" t="s">
        <v>1697</v>
      </c>
      <c r="F755" t="s">
        <v>1698</v>
      </c>
    </row>
    <row r="756" spans="1:6" x14ac:dyDescent="0.55000000000000004">
      <c r="A756" t="str">
        <f t="shared" si="23"/>
        <v>16</v>
      </c>
      <c r="B756" t="str">
        <f>"16.0905"</f>
        <v>16.0905</v>
      </c>
      <c r="C756" t="s">
        <v>8</v>
      </c>
      <c r="D756" t="s">
        <v>12</v>
      </c>
      <c r="E756" t="s">
        <v>1699</v>
      </c>
      <c r="F756" t="s">
        <v>1700</v>
      </c>
    </row>
    <row r="757" spans="1:6" x14ac:dyDescent="0.55000000000000004">
      <c r="A757" t="str">
        <f t="shared" si="23"/>
        <v>16</v>
      </c>
      <c r="B757" t="str">
        <f>"16.0906"</f>
        <v>16.0906</v>
      </c>
      <c r="C757" t="s">
        <v>8</v>
      </c>
      <c r="D757" t="s">
        <v>12</v>
      </c>
      <c r="E757" t="s">
        <v>1701</v>
      </c>
      <c r="F757" t="s">
        <v>1702</v>
      </c>
    </row>
    <row r="758" spans="1:6" x14ac:dyDescent="0.55000000000000004">
      <c r="A758" t="str">
        <f t="shared" si="23"/>
        <v>16</v>
      </c>
      <c r="B758" t="str">
        <f>"16.0907"</f>
        <v>16.0907</v>
      </c>
      <c r="C758" t="s">
        <v>8</v>
      </c>
      <c r="D758" t="s">
        <v>12</v>
      </c>
      <c r="E758" t="s">
        <v>1703</v>
      </c>
      <c r="F758" t="s">
        <v>1704</v>
      </c>
    </row>
    <row r="759" spans="1:6" x14ac:dyDescent="0.55000000000000004">
      <c r="A759" t="str">
        <f t="shared" si="23"/>
        <v>16</v>
      </c>
      <c r="B759" t="str">
        <f>"16.0908"</f>
        <v>16.0908</v>
      </c>
      <c r="C759" t="s">
        <v>8</v>
      </c>
      <c r="D759" t="s">
        <v>12</v>
      </c>
      <c r="E759" t="s">
        <v>1705</v>
      </c>
      <c r="F759" t="s">
        <v>1706</v>
      </c>
    </row>
    <row r="760" spans="1:6" x14ac:dyDescent="0.55000000000000004">
      <c r="A760" t="str">
        <f t="shared" si="23"/>
        <v>16</v>
      </c>
      <c r="B760" t="str">
        <f>"16.0999"</f>
        <v>16.0999</v>
      </c>
      <c r="C760" t="s">
        <v>8</v>
      </c>
      <c r="D760" t="s">
        <v>12</v>
      </c>
      <c r="E760" t="s">
        <v>1707</v>
      </c>
      <c r="F760" t="s">
        <v>1708</v>
      </c>
    </row>
    <row r="761" spans="1:6" x14ac:dyDescent="0.55000000000000004">
      <c r="A761" t="str">
        <f t="shared" si="23"/>
        <v>16</v>
      </c>
      <c r="B761" t="str">
        <f>"16.10"</f>
        <v>16.10</v>
      </c>
      <c r="C761" t="s">
        <v>8</v>
      </c>
      <c r="D761" t="s">
        <v>12</v>
      </c>
      <c r="E761" t="s">
        <v>1709</v>
      </c>
      <c r="F761" t="s">
        <v>1710</v>
      </c>
    </row>
    <row r="762" spans="1:6" x14ac:dyDescent="0.55000000000000004">
      <c r="A762" t="str">
        <f t="shared" si="23"/>
        <v>16</v>
      </c>
      <c r="B762" t="str">
        <f>"16.1001"</f>
        <v>16.1001</v>
      </c>
      <c r="C762" t="s">
        <v>8</v>
      </c>
      <c r="D762" t="s">
        <v>9</v>
      </c>
      <c r="E762" t="s">
        <v>1709</v>
      </c>
      <c r="F762" t="s">
        <v>1711</v>
      </c>
    </row>
    <row r="763" spans="1:6" x14ac:dyDescent="0.55000000000000004">
      <c r="A763" t="str">
        <f t="shared" si="23"/>
        <v>16</v>
      </c>
      <c r="B763" t="str">
        <f>"16.11"</f>
        <v>16.11</v>
      </c>
      <c r="C763" t="s">
        <v>8</v>
      </c>
      <c r="D763" t="s">
        <v>12</v>
      </c>
      <c r="E763" t="s">
        <v>1712</v>
      </c>
      <c r="F763" t="s">
        <v>1713</v>
      </c>
    </row>
    <row r="764" spans="1:6" x14ac:dyDescent="0.55000000000000004">
      <c r="A764" t="str">
        <f t="shared" si="23"/>
        <v>16</v>
      </c>
      <c r="B764" t="str">
        <f>"16.1100"</f>
        <v>16.1100</v>
      </c>
      <c r="C764" t="s">
        <v>8</v>
      </c>
      <c r="D764" t="s">
        <v>12</v>
      </c>
      <c r="E764" t="s">
        <v>1714</v>
      </c>
      <c r="F764" t="s">
        <v>1715</v>
      </c>
    </row>
    <row r="765" spans="1:6" x14ac:dyDescent="0.55000000000000004">
      <c r="A765" t="str">
        <f t="shared" ref="A765:A796" si="24">"16"</f>
        <v>16</v>
      </c>
      <c r="B765" t="str">
        <f>"16.1101"</f>
        <v>16.1101</v>
      </c>
      <c r="C765" t="s">
        <v>8</v>
      </c>
      <c r="D765" t="s">
        <v>12</v>
      </c>
      <c r="E765" t="s">
        <v>1716</v>
      </c>
      <c r="F765" t="s">
        <v>1717</v>
      </c>
    </row>
    <row r="766" spans="1:6" x14ac:dyDescent="0.55000000000000004">
      <c r="A766" t="str">
        <f t="shared" si="24"/>
        <v>16</v>
      </c>
      <c r="B766" t="str">
        <f>"16.1102"</f>
        <v>16.1102</v>
      </c>
      <c r="C766" t="s">
        <v>8</v>
      </c>
      <c r="D766" t="s">
        <v>12</v>
      </c>
      <c r="E766" t="s">
        <v>1718</v>
      </c>
      <c r="F766" t="s">
        <v>1719</v>
      </c>
    </row>
    <row r="767" spans="1:6" x14ac:dyDescent="0.55000000000000004">
      <c r="A767" t="str">
        <f t="shared" si="24"/>
        <v>16</v>
      </c>
      <c r="B767" t="str">
        <f>"16.1103"</f>
        <v>16.1103</v>
      </c>
      <c r="C767" t="s">
        <v>8</v>
      </c>
      <c r="D767" t="s">
        <v>12</v>
      </c>
      <c r="E767" t="s">
        <v>1720</v>
      </c>
      <c r="F767" t="s">
        <v>1721</v>
      </c>
    </row>
    <row r="768" spans="1:6" x14ac:dyDescent="0.55000000000000004">
      <c r="A768" t="str">
        <f t="shared" si="24"/>
        <v>16</v>
      </c>
      <c r="B768" t="str">
        <f>"16.1199"</f>
        <v>16.1199</v>
      </c>
      <c r="C768" t="s">
        <v>8</v>
      </c>
      <c r="D768" t="s">
        <v>12</v>
      </c>
      <c r="E768" t="s">
        <v>1722</v>
      </c>
      <c r="F768" t="s">
        <v>1723</v>
      </c>
    </row>
    <row r="769" spans="1:6" x14ac:dyDescent="0.55000000000000004">
      <c r="A769" t="str">
        <f t="shared" si="24"/>
        <v>16</v>
      </c>
      <c r="B769" t="str">
        <f>"16.12"</f>
        <v>16.12</v>
      </c>
      <c r="C769" t="s">
        <v>8</v>
      </c>
      <c r="D769" t="s">
        <v>12</v>
      </c>
      <c r="E769" t="s">
        <v>1724</v>
      </c>
      <c r="F769" t="s">
        <v>1725</v>
      </c>
    </row>
    <row r="770" spans="1:6" x14ac:dyDescent="0.55000000000000004">
      <c r="A770" t="str">
        <f t="shared" si="24"/>
        <v>16</v>
      </c>
      <c r="B770" t="str">
        <f>"16.1200"</f>
        <v>16.1200</v>
      </c>
      <c r="C770" t="s">
        <v>8</v>
      </c>
      <c r="D770" t="s">
        <v>12</v>
      </c>
      <c r="E770" t="s">
        <v>1726</v>
      </c>
      <c r="F770" t="s">
        <v>1727</v>
      </c>
    </row>
    <row r="771" spans="1:6" x14ac:dyDescent="0.55000000000000004">
      <c r="A771" t="str">
        <f t="shared" si="24"/>
        <v>16</v>
      </c>
      <c r="B771" t="str">
        <f>"16.1202"</f>
        <v>16.1202</v>
      </c>
      <c r="C771" t="s">
        <v>8</v>
      </c>
      <c r="D771" t="s">
        <v>12</v>
      </c>
      <c r="E771" t="s">
        <v>1728</v>
      </c>
      <c r="F771" t="s">
        <v>1729</v>
      </c>
    </row>
    <row r="772" spans="1:6" x14ac:dyDescent="0.55000000000000004">
      <c r="A772" t="str">
        <f t="shared" si="24"/>
        <v>16</v>
      </c>
      <c r="B772" t="str">
        <f>"16.1203"</f>
        <v>16.1203</v>
      </c>
      <c r="C772" t="s">
        <v>8</v>
      </c>
      <c r="D772" t="s">
        <v>12</v>
      </c>
      <c r="E772" t="s">
        <v>1730</v>
      </c>
      <c r="F772" t="s">
        <v>1731</v>
      </c>
    </row>
    <row r="773" spans="1:6" x14ac:dyDescent="0.55000000000000004">
      <c r="A773" t="str">
        <f t="shared" si="24"/>
        <v>16</v>
      </c>
      <c r="B773" t="str">
        <f>"16.1299"</f>
        <v>16.1299</v>
      </c>
      <c r="C773" t="s">
        <v>8</v>
      </c>
      <c r="D773" t="s">
        <v>12</v>
      </c>
      <c r="E773" t="s">
        <v>1732</v>
      </c>
      <c r="F773" t="s">
        <v>1733</v>
      </c>
    </row>
    <row r="774" spans="1:6" x14ac:dyDescent="0.55000000000000004">
      <c r="A774" t="str">
        <f t="shared" si="24"/>
        <v>16</v>
      </c>
      <c r="B774" t="str">
        <f>"16.13"</f>
        <v>16.13</v>
      </c>
      <c r="C774" t="s">
        <v>8</v>
      </c>
      <c r="D774" t="s">
        <v>12</v>
      </c>
      <c r="E774" t="s">
        <v>1734</v>
      </c>
      <c r="F774" t="s">
        <v>1735</v>
      </c>
    </row>
    <row r="775" spans="1:6" x14ac:dyDescent="0.55000000000000004">
      <c r="A775" t="str">
        <f t="shared" si="24"/>
        <v>16</v>
      </c>
      <c r="B775" t="str">
        <f>"16.1301"</f>
        <v>16.1301</v>
      </c>
      <c r="C775" t="s">
        <v>8</v>
      </c>
      <c r="D775" t="s">
        <v>12</v>
      </c>
      <c r="E775" t="s">
        <v>1734</v>
      </c>
      <c r="F775" t="s">
        <v>1736</v>
      </c>
    </row>
    <row r="776" spans="1:6" x14ac:dyDescent="0.55000000000000004">
      <c r="A776" t="str">
        <f t="shared" si="24"/>
        <v>16</v>
      </c>
      <c r="B776" t="str">
        <f>"16.14"</f>
        <v>16.14</v>
      </c>
      <c r="C776" t="s">
        <v>8</v>
      </c>
      <c r="D776" t="s">
        <v>12</v>
      </c>
      <c r="E776" t="s">
        <v>1737</v>
      </c>
      <c r="F776" t="s">
        <v>1738</v>
      </c>
    </row>
    <row r="777" spans="1:6" x14ac:dyDescent="0.55000000000000004">
      <c r="A777" t="str">
        <f t="shared" si="24"/>
        <v>16</v>
      </c>
      <c r="B777" t="str">
        <f>"16.1400"</f>
        <v>16.1400</v>
      </c>
      <c r="C777" t="s">
        <v>8</v>
      </c>
      <c r="D777" t="s">
        <v>12</v>
      </c>
      <c r="E777" t="s">
        <v>1739</v>
      </c>
      <c r="F777" t="s">
        <v>1740</v>
      </c>
    </row>
    <row r="778" spans="1:6" x14ac:dyDescent="0.55000000000000004">
      <c r="A778" t="str">
        <f t="shared" si="24"/>
        <v>16</v>
      </c>
      <c r="B778" t="str">
        <f>"16.1401"</f>
        <v>16.1401</v>
      </c>
      <c r="C778" t="s">
        <v>8</v>
      </c>
      <c r="D778" t="s">
        <v>12</v>
      </c>
      <c r="E778" t="s">
        <v>1741</v>
      </c>
      <c r="F778" t="s">
        <v>1742</v>
      </c>
    </row>
    <row r="779" spans="1:6" x14ac:dyDescent="0.55000000000000004">
      <c r="A779" t="str">
        <f t="shared" si="24"/>
        <v>16</v>
      </c>
      <c r="B779" t="str">
        <f>"16.1402"</f>
        <v>16.1402</v>
      </c>
      <c r="C779" t="s">
        <v>8</v>
      </c>
      <c r="D779" t="s">
        <v>12</v>
      </c>
      <c r="E779" t="s">
        <v>1743</v>
      </c>
      <c r="F779" t="s">
        <v>1744</v>
      </c>
    </row>
    <row r="780" spans="1:6" x14ac:dyDescent="0.55000000000000004">
      <c r="A780" t="str">
        <f t="shared" si="24"/>
        <v>16</v>
      </c>
      <c r="B780" t="str">
        <f>"16.1403"</f>
        <v>16.1403</v>
      </c>
      <c r="C780" t="s">
        <v>8</v>
      </c>
      <c r="D780" t="s">
        <v>12</v>
      </c>
      <c r="E780" t="s">
        <v>1745</v>
      </c>
      <c r="F780" t="s">
        <v>1746</v>
      </c>
    </row>
    <row r="781" spans="1:6" x14ac:dyDescent="0.55000000000000004">
      <c r="A781" t="str">
        <f t="shared" si="24"/>
        <v>16</v>
      </c>
      <c r="B781" t="str">
        <f>"16.1404"</f>
        <v>16.1404</v>
      </c>
      <c r="C781" t="s">
        <v>8</v>
      </c>
      <c r="D781" t="s">
        <v>12</v>
      </c>
      <c r="E781" t="s">
        <v>1747</v>
      </c>
      <c r="F781" t="s">
        <v>1748</v>
      </c>
    </row>
    <row r="782" spans="1:6" x14ac:dyDescent="0.55000000000000004">
      <c r="A782" t="str">
        <f t="shared" si="24"/>
        <v>16</v>
      </c>
      <c r="B782" t="str">
        <f>"16.1405"</f>
        <v>16.1405</v>
      </c>
      <c r="C782" t="s">
        <v>8</v>
      </c>
      <c r="D782" t="s">
        <v>12</v>
      </c>
      <c r="E782" t="s">
        <v>1749</v>
      </c>
      <c r="F782" t="s">
        <v>1750</v>
      </c>
    </row>
    <row r="783" spans="1:6" x14ac:dyDescent="0.55000000000000004">
      <c r="A783" t="str">
        <f t="shared" si="24"/>
        <v>16</v>
      </c>
      <c r="B783" t="str">
        <f>"16.1406"</f>
        <v>16.1406</v>
      </c>
      <c r="C783" t="s">
        <v>8</v>
      </c>
      <c r="D783" t="s">
        <v>12</v>
      </c>
      <c r="E783" t="s">
        <v>1751</v>
      </c>
      <c r="F783" t="s">
        <v>1752</v>
      </c>
    </row>
    <row r="784" spans="1:6" x14ac:dyDescent="0.55000000000000004">
      <c r="A784" t="str">
        <f t="shared" si="24"/>
        <v>16</v>
      </c>
      <c r="B784" t="str">
        <f>"16.1407"</f>
        <v>16.1407</v>
      </c>
      <c r="C784" t="s">
        <v>8</v>
      </c>
      <c r="D784" t="s">
        <v>12</v>
      </c>
      <c r="E784" t="s">
        <v>1753</v>
      </c>
      <c r="F784" t="s">
        <v>1754</v>
      </c>
    </row>
    <row r="785" spans="1:7" x14ac:dyDescent="0.55000000000000004">
      <c r="A785" t="str">
        <f t="shared" si="24"/>
        <v>16</v>
      </c>
      <c r="B785" t="str">
        <f>"16.1408"</f>
        <v>16.1408</v>
      </c>
      <c r="C785" t="s">
        <v>8</v>
      </c>
      <c r="D785" t="s">
        <v>12</v>
      </c>
      <c r="E785" t="s">
        <v>1755</v>
      </c>
      <c r="F785" t="s">
        <v>1756</v>
      </c>
    </row>
    <row r="786" spans="1:7" x14ac:dyDescent="0.55000000000000004">
      <c r="A786" t="str">
        <f t="shared" si="24"/>
        <v>16</v>
      </c>
      <c r="B786" t="str">
        <f>"16.1409"</f>
        <v>16.1409</v>
      </c>
      <c r="C786" t="s">
        <v>47</v>
      </c>
      <c r="D786" t="s">
        <v>12</v>
      </c>
      <c r="E786" t="s">
        <v>1757</v>
      </c>
      <c r="F786" t="s">
        <v>1758</v>
      </c>
    </row>
    <row r="787" spans="1:7" x14ac:dyDescent="0.55000000000000004">
      <c r="A787" t="str">
        <f t="shared" si="24"/>
        <v>16</v>
      </c>
      <c r="B787" t="str">
        <f>"16.1499"</f>
        <v>16.1499</v>
      </c>
      <c r="C787" t="s">
        <v>8</v>
      </c>
      <c r="D787" t="s">
        <v>12</v>
      </c>
      <c r="E787" t="s">
        <v>1759</v>
      </c>
      <c r="F787" t="s">
        <v>1760</v>
      </c>
    </row>
    <row r="788" spans="1:7" x14ac:dyDescent="0.55000000000000004">
      <c r="A788" t="str">
        <f t="shared" si="24"/>
        <v>16</v>
      </c>
      <c r="B788" t="str">
        <f>"16.15"</f>
        <v>16.15</v>
      </c>
      <c r="C788" t="s">
        <v>8</v>
      </c>
      <c r="D788" t="s">
        <v>12</v>
      </c>
      <c r="E788" t="s">
        <v>1761</v>
      </c>
      <c r="F788" t="s">
        <v>1762</v>
      </c>
    </row>
    <row r="789" spans="1:7" x14ac:dyDescent="0.55000000000000004">
      <c r="A789" t="str">
        <f t="shared" si="24"/>
        <v>16</v>
      </c>
      <c r="B789" t="str">
        <f>"16.1501"</f>
        <v>16.1501</v>
      </c>
      <c r="C789" t="s">
        <v>8</v>
      </c>
      <c r="D789" t="s">
        <v>12</v>
      </c>
      <c r="E789" t="s">
        <v>1763</v>
      </c>
      <c r="F789" t="s">
        <v>1764</v>
      </c>
    </row>
    <row r="790" spans="1:7" x14ac:dyDescent="0.55000000000000004">
      <c r="A790" t="str">
        <f t="shared" si="24"/>
        <v>16</v>
      </c>
      <c r="B790" t="str">
        <f>"16.1502"</f>
        <v>16.1502</v>
      </c>
      <c r="C790" t="s">
        <v>8</v>
      </c>
      <c r="D790" t="s">
        <v>12</v>
      </c>
      <c r="E790" t="s">
        <v>1765</v>
      </c>
      <c r="F790" t="s">
        <v>1766</v>
      </c>
    </row>
    <row r="791" spans="1:7" x14ac:dyDescent="0.55000000000000004">
      <c r="A791" t="str">
        <f t="shared" si="24"/>
        <v>16</v>
      </c>
      <c r="B791" t="str">
        <f>"16.1503"</f>
        <v>16.1503</v>
      </c>
      <c r="C791" t="s">
        <v>8</v>
      </c>
      <c r="D791" t="s">
        <v>12</v>
      </c>
      <c r="E791" t="s">
        <v>1767</v>
      </c>
      <c r="F791" t="s">
        <v>1768</v>
      </c>
    </row>
    <row r="792" spans="1:7" x14ac:dyDescent="0.55000000000000004">
      <c r="A792" t="str">
        <f t="shared" si="24"/>
        <v>16</v>
      </c>
      <c r="B792" t="str">
        <f>"16.1504"</f>
        <v>16.1504</v>
      </c>
      <c r="C792" t="s">
        <v>8</v>
      </c>
      <c r="D792" t="s">
        <v>12</v>
      </c>
      <c r="E792" t="s">
        <v>1769</v>
      </c>
      <c r="F792" t="s">
        <v>1770</v>
      </c>
    </row>
    <row r="793" spans="1:7" x14ac:dyDescent="0.55000000000000004">
      <c r="A793" t="str">
        <f t="shared" si="24"/>
        <v>16</v>
      </c>
      <c r="B793" t="str">
        <f>"16.1599"</f>
        <v>16.1599</v>
      </c>
      <c r="C793" t="s">
        <v>8</v>
      </c>
      <c r="D793" t="s">
        <v>12</v>
      </c>
      <c r="E793" t="s">
        <v>1771</v>
      </c>
      <c r="F793" t="s">
        <v>1772</v>
      </c>
    </row>
    <row r="794" spans="1:7" x14ac:dyDescent="0.55000000000000004">
      <c r="A794" t="str">
        <f t="shared" si="24"/>
        <v>16</v>
      </c>
      <c r="B794" t="str">
        <f>"16.16"</f>
        <v>16.16</v>
      </c>
      <c r="C794" t="s">
        <v>8</v>
      </c>
      <c r="D794" t="s">
        <v>12</v>
      </c>
      <c r="E794" t="s">
        <v>1773</v>
      </c>
      <c r="F794" t="s">
        <v>1774</v>
      </c>
    </row>
    <row r="795" spans="1:7" x14ac:dyDescent="0.55000000000000004">
      <c r="A795" t="str">
        <f t="shared" si="24"/>
        <v>16</v>
      </c>
      <c r="B795" t="str">
        <f>"16.1601"</f>
        <v>16.1601</v>
      </c>
      <c r="C795" t="s">
        <v>8</v>
      </c>
      <c r="D795" t="s">
        <v>12</v>
      </c>
      <c r="E795" t="s">
        <v>1775</v>
      </c>
      <c r="F795" t="s">
        <v>1776</v>
      </c>
      <c r="G795" t="s">
        <v>1777</v>
      </c>
    </row>
    <row r="796" spans="1:7" x14ac:dyDescent="0.55000000000000004">
      <c r="A796" t="str">
        <f t="shared" si="24"/>
        <v>16</v>
      </c>
      <c r="B796" t="str">
        <f>"16.1602"</f>
        <v>16.1602</v>
      </c>
      <c r="C796" t="s">
        <v>8</v>
      </c>
      <c r="D796" t="s">
        <v>12</v>
      </c>
      <c r="E796" t="s">
        <v>1778</v>
      </c>
      <c r="F796" t="s">
        <v>1779</v>
      </c>
    </row>
    <row r="797" spans="1:7" x14ac:dyDescent="0.55000000000000004">
      <c r="A797" t="str">
        <f t="shared" ref="A797:A806" si="25">"16"</f>
        <v>16</v>
      </c>
      <c r="B797" t="str">
        <f>"16.1603"</f>
        <v>16.1603</v>
      </c>
      <c r="C797" t="s">
        <v>8</v>
      </c>
      <c r="D797" t="s">
        <v>12</v>
      </c>
      <c r="E797" t="s">
        <v>1780</v>
      </c>
      <c r="F797" t="s">
        <v>1781</v>
      </c>
    </row>
    <row r="798" spans="1:7" x14ac:dyDescent="0.55000000000000004">
      <c r="A798" t="str">
        <f t="shared" si="25"/>
        <v>16</v>
      </c>
      <c r="B798" t="str">
        <f>"16.1699"</f>
        <v>16.1699</v>
      </c>
      <c r="C798" t="s">
        <v>8</v>
      </c>
      <c r="D798" t="s">
        <v>12</v>
      </c>
      <c r="E798" t="s">
        <v>1782</v>
      </c>
      <c r="F798" t="s">
        <v>1783</v>
      </c>
    </row>
    <row r="799" spans="1:7" x14ac:dyDescent="0.55000000000000004">
      <c r="A799" t="str">
        <f t="shared" si="25"/>
        <v>16</v>
      </c>
      <c r="B799" t="str">
        <f>"16.17"</f>
        <v>16.17</v>
      </c>
      <c r="C799" t="s">
        <v>47</v>
      </c>
      <c r="D799" t="s">
        <v>12</v>
      </c>
      <c r="E799" t="s">
        <v>1784</v>
      </c>
      <c r="F799" t="s">
        <v>1785</v>
      </c>
    </row>
    <row r="800" spans="1:7" x14ac:dyDescent="0.55000000000000004">
      <c r="A800" t="str">
        <f t="shared" si="25"/>
        <v>16</v>
      </c>
      <c r="B800" t="str">
        <f>"16.1701"</f>
        <v>16.1701</v>
      </c>
      <c r="C800" t="s">
        <v>47</v>
      </c>
      <c r="D800" t="s">
        <v>12</v>
      </c>
      <c r="E800" t="s">
        <v>1786</v>
      </c>
      <c r="F800" t="s">
        <v>1787</v>
      </c>
      <c r="G800" t="s">
        <v>1788</v>
      </c>
    </row>
    <row r="801" spans="1:7" x14ac:dyDescent="0.55000000000000004">
      <c r="A801" t="str">
        <f t="shared" si="25"/>
        <v>16</v>
      </c>
      <c r="B801" t="str">
        <f>"16.1702"</f>
        <v>16.1702</v>
      </c>
      <c r="C801" t="s">
        <v>47</v>
      </c>
      <c r="D801" t="s">
        <v>12</v>
      </c>
      <c r="E801" t="s">
        <v>82</v>
      </c>
      <c r="F801" t="s">
        <v>83</v>
      </c>
    </row>
    <row r="802" spans="1:7" x14ac:dyDescent="0.55000000000000004">
      <c r="A802" t="str">
        <f t="shared" si="25"/>
        <v>16</v>
      </c>
      <c r="B802" t="str">
        <f>"16.1799"</f>
        <v>16.1799</v>
      </c>
      <c r="C802" t="s">
        <v>47</v>
      </c>
      <c r="D802" t="s">
        <v>12</v>
      </c>
      <c r="E802" t="s">
        <v>82</v>
      </c>
      <c r="F802" t="s">
        <v>83</v>
      </c>
    </row>
    <row r="803" spans="1:7" x14ac:dyDescent="0.55000000000000004">
      <c r="A803" t="str">
        <f t="shared" si="25"/>
        <v>16</v>
      </c>
      <c r="B803" t="str">
        <f>"16.18"</f>
        <v>16.18</v>
      </c>
      <c r="C803" t="s">
        <v>47</v>
      </c>
      <c r="D803" t="s">
        <v>12</v>
      </c>
      <c r="E803" t="s">
        <v>1789</v>
      </c>
      <c r="F803" t="s">
        <v>1790</v>
      </c>
    </row>
    <row r="804" spans="1:7" x14ac:dyDescent="0.55000000000000004">
      <c r="A804" t="str">
        <f t="shared" si="25"/>
        <v>16</v>
      </c>
      <c r="B804" t="str">
        <f>"16.1801"</f>
        <v>16.1801</v>
      </c>
      <c r="C804" t="s">
        <v>47</v>
      </c>
      <c r="D804" t="s">
        <v>12</v>
      </c>
      <c r="E804" t="s">
        <v>1791</v>
      </c>
      <c r="F804" t="s">
        <v>1792</v>
      </c>
    </row>
    <row r="805" spans="1:7" x14ac:dyDescent="0.55000000000000004">
      <c r="A805" t="str">
        <f t="shared" si="25"/>
        <v>16</v>
      </c>
      <c r="B805" t="str">
        <f>"16.99"</f>
        <v>16.99</v>
      </c>
      <c r="C805" t="s">
        <v>8</v>
      </c>
      <c r="D805" t="s">
        <v>12</v>
      </c>
      <c r="E805" t="s">
        <v>1793</v>
      </c>
      <c r="F805" t="s">
        <v>1794</v>
      </c>
    </row>
    <row r="806" spans="1:7" x14ac:dyDescent="0.55000000000000004">
      <c r="A806" t="str">
        <f t="shared" si="25"/>
        <v>16</v>
      </c>
      <c r="B806" t="str">
        <f>"16.9999"</f>
        <v>16.9999</v>
      </c>
      <c r="C806" t="s">
        <v>8</v>
      </c>
      <c r="D806" t="s">
        <v>12</v>
      </c>
      <c r="E806" t="s">
        <v>1793</v>
      </c>
      <c r="F806" t="s">
        <v>1795</v>
      </c>
    </row>
    <row r="807" spans="1:7" x14ac:dyDescent="0.55000000000000004">
      <c r="A807" t="str">
        <f>"19"</f>
        <v>19</v>
      </c>
      <c r="B807" t="str">
        <f>"19"</f>
        <v>19</v>
      </c>
      <c r="C807" t="s">
        <v>8</v>
      </c>
      <c r="D807" t="s">
        <v>12</v>
      </c>
      <c r="E807" t="s">
        <v>1796</v>
      </c>
      <c r="F807" t="s">
        <v>1797</v>
      </c>
    </row>
    <row r="808" spans="1:7" x14ac:dyDescent="0.55000000000000004">
      <c r="A808" t="str">
        <f t="shared" ref="A808:A854" si="26">"19"</f>
        <v>19</v>
      </c>
      <c r="B808" t="str">
        <f>"19.00"</f>
        <v>19.00</v>
      </c>
      <c r="C808" t="s">
        <v>70</v>
      </c>
      <c r="D808" t="s">
        <v>12</v>
      </c>
      <c r="E808" t="s">
        <v>1798</v>
      </c>
      <c r="F808" t="s">
        <v>1799</v>
      </c>
    </row>
    <row r="809" spans="1:7" x14ac:dyDescent="0.55000000000000004">
      <c r="A809" t="str">
        <f t="shared" si="26"/>
        <v>19</v>
      </c>
      <c r="B809" t="str">
        <f>"19.0000"</f>
        <v>19.0000</v>
      </c>
      <c r="C809" t="s">
        <v>70</v>
      </c>
      <c r="D809" t="s">
        <v>12</v>
      </c>
      <c r="E809" t="s">
        <v>1798</v>
      </c>
      <c r="F809" t="s">
        <v>1800</v>
      </c>
    </row>
    <row r="810" spans="1:7" x14ac:dyDescent="0.55000000000000004">
      <c r="A810" t="str">
        <f t="shared" si="26"/>
        <v>19</v>
      </c>
      <c r="B810" t="str">
        <f>"19.01"</f>
        <v>19.01</v>
      </c>
      <c r="C810" t="s">
        <v>8</v>
      </c>
      <c r="D810" t="s">
        <v>12</v>
      </c>
      <c r="E810" t="s">
        <v>1801</v>
      </c>
      <c r="F810" t="s">
        <v>1802</v>
      </c>
    </row>
    <row r="811" spans="1:7" x14ac:dyDescent="0.55000000000000004">
      <c r="A811" t="str">
        <f t="shared" si="26"/>
        <v>19</v>
      </c>
      <c r="B811" t="str">
        <f>"19.0101"</f>
        <v>19.0101</v>
      </c>
      <c r="C811" t="s">
        <v>8</v>
      </c>
      <c r="D811" t="s">
        <v>12</v>
      </c>
      <c r="E811" t="s">
        <v>1801</v>
      </c>
      <c r="F811" t="s">
        <v>1803</v>
      </c>
      <c r="G811" t="s">
        <v>1804</v>
      </c>
    </row>
    <row r="812" spans="1:7" x14ac:dyDescent="0.55000000000000004">
      <c r="A812" t="str">
        <f t="shared" si="26"/>
        <v>19</v>
      </c>
      <c r="B812" t="str">
        <f>"19.02"</f>
        <v>19.02</v>
      </c>
      <c r="C812" t="s">
        <v>8</v>
      </c>
      <c r="D812" t="s">
        <v>12</v>
      </c>
      <c r="E812" t="s">
        <v>1805</v>
      </c>
      <c r="F812" t="s">
        <v>1806</v>
      </c>
    </row>
    <row r="813" spans="1:7" x14ac:dyDescent="0.55000000000000004">
      <c r="A813" t="str">
        <f t="shared" si="26"/>
        <v>19</v>
      </c>
      <c r="B813" t="str">
        <f>"19.0201"</f>
        <v>19.0201</v>
      </c>
      <c r="C813" t="s">
        <v>8</v>
      </c>
      <c r="D813" t="s">
        <v>12</v>
      </c>
      <c r="E813" t="s">
        <v>1807</v>
      </c>
      <c r="F813" t="s">
        <v>1808</v>
      </c>
    </row>
    <row r="814" spans="1:7" x14ac:dyDescent="0.55000000000000004">
      <c r="A814" t="str">
        <f t="shared" si="26"/>
        <v>19</v>
      </c>
      <c r="B814" t="str">
        <f>"19.0202"</f>
        <v>19.0202</v>
      </c>
      <c r="C814" t="s">
        <v>8</v>
      </c>
      <c r="D814" t="s">
        <v>12</v>
      </c>
      <c r="E814" t="s">
        <v>1809</v>
      </c>
      <c r="F814" t="s">
        <v>1810</v>
      </c>
    </row>
    <row r="815" spans="1:7" x14ac:dyDescent="0.55000000000000004">
      <c r="A815" t="str">
        <f t="shared" si="26"/>
        <v>19</v>
      </c>
      <c r="B815" t="str">
        <f>"19.0203"</f>
        <v>19.0203</v>
      </c>
      <c r="C815" t="s">
        <v>8</v>
      </c>
      <c r="D815" t="s">
        <v>12</v>
      </c>
      <c r="E815" t="s">
        <v>1811</v>
      </c>
      <c r="F815" t="s">
        <v>1812</v>
      </c>
    </row>
    <row r="816" spans="1:7" x14ac:dyDescent="0.55000000000000004">
      <c r="A816" t="str">
        <f t="shared" si="26"/>
        <v>19</v>
      </c>
      <c r="B816" t="str">
        <f>"19.0299"</f>
        <v>19.0299</v>
      </c>
      <c r="C816" t="s">
        <v>8</v>
      </c>
      <c r="D816" t="s">
        <v>12</v>
      </c>
      <c r="E816" t="s">
        <v>1813</v>
      </c>
      <c r="F816" t="s">
        <v>1814</v>
      </c>
    </row>
    <row r="817" spans="1:7" x14ac:dyDescent="0.55000000000000004">
      <c r="A817" t="str">
        <f t="shared" si="26"/>
        <v>19</v>
      </c>
      <c r="B817" t="str">
        <f>"19.04"</f>
        <v>19.04</v>
      </c>
      <c r="C817" t="s">
        <v>8</v>
      </c>
      <c r="D817" t="s">
        <v>12</v>
      </c>
      <c r="E817" t="s">
        <v>1815</v>
      </c>
      <c r="F817" t="s">
        <v>1816</v>
      </c>
    </row>
    <row r="818" spans="1:7" x14ac:dyDescent="0.55000000000000004">
      <c r="A818" t="str">
        <f t="shared" si="26"/>
        <v>19</v>
      </c>
      <c r="B818" t="str">
        <f>"19.0401"</f>
        <v>19.0401</v>
      </c>
      <c r="C818" t="s">
        <v>8</v>
      </c>
      <c r="D818" t="s">
        <v>12</v>
      </c>
      <c r="E818" t="s">
        <v>1817</v>
      </c>
      <c r="F818" t="s">
        <v>1818</v>
      </c>
      <c r="G818" t="s">
        <v>1819</v>
      </c>
    </row>
    <row r="819" spans="1:7" x14ac:dyDescent="0.55000000000000004">
      <c r="A819" t="str">
        <f t="shared" si="26"/>
        <v>19</v>
      </c>
      <c r="B819" t="str">
        <f>"19.0402"</f>
        <v>19.0402</v>
      </c>
      <c r="C819" t="s">
        <v>8</v>
      </c>
      <c r="D819" t="s">
        <v>12</v>
      </c>
      <c r="E819" t="s">
        <v>1820</v>
      </c>
      <c r="F819" t="s">
        <v>1821</v>
      </c>
    </row>
    <row r="820" spans="1:7" x14ac:dyDescent="0.55000000000000004">
      <c r="A820" t="str">
        <f t="shared" si="26"/>
        <v>19</v>
      </c>
      <c r="B820" t="str">
        <f>"19.0403"</f>
        <v>19.0403</v>
      </c>
      <c r="C820" t="s">
        <v>8</v>
      </c>
      <c r="D820" t="s">
        <v>12</v>
      </c>
      <c r="E820" t="s">
        <v>1822</v>
      </c>
      <c r="F820" t="s">
        <v>1823</v>
      </c>
    </row>
    <row r="821" spans="1:7" x14ac:dyDescent="0.55000000000000004">
      <c r="A821" t="str">
        <f t="shared" si="26"/>
        <v>19</v>
      </c>
      <c r="B821" t="str">
        <f>"19.0499"</f>
        <v>19.0499</v>
      </c>
      <c r="C821" t="s">
        <v>8</v>
      </c>
      <c r="D821" t="s">
        <v>12</v>
      </c>
      <c r="E821" t="s">
        <v>1824</v>
      </c>
      <c r="F821" t="s">
        <v>1825</v>
      </c>
    </row>
    <row r="822" spans="1:7" x14ac:dyDescent="0.55000000000000004">
      <c r="A822" t="str">
        <f t="shared" si="26"/>
        <v>19</v>
      </c>
      <c r="B822" t="str">
        <f>"19.05"</f>
        <v>19.05</v>
      </c>
      <c r="C822" t="s">
        <v>8</v>
      </c>
      <c r="D822" t="s">
        <v>12</v>
      </c>
      <c r="E822" t="s">
        <v>1826</v>
      </c>
      <c r="F822" t="s">
        <v>1827</v>
      </c>
    </row>
    <row r="823" spans="1:7" x14ac:dyDescent="0.55000000000000004">
      <c r="A823" t="str">
        <f t="shared" si="26"/>
        <v>19</v>
      </c>
      <c r="B823" t="str">
        <f>"19.0501"</f>
        <v>19.0501</v>
      </c>
      <c r="C823" t="s">
        <v>8</v>
      </c>
      <c r="D823" t="s">
        <v>12</v>
      </c>
      <c r="E823" t="s">
        <v>1828</v>
      </c>
      <c r="F823" t="s">
        <v>1829</v>
      </c>
      <c r="G823" t="s">
        <v>863</v>
      </c>
    </row>
    <row r="824" spans="1:7" x14ac:dyDescent="0.55000000000000004">
      <c r="A824" t="str">
        <f t="shared" si="26"/>
        <v>19</v>
      </c>
      <c r="B824" t="str">
        <f>"19.0504"</f>
        <v>19.0504</v>
      </c>
      <c r="C824" t="s">
        <v>8</v>
      </c>
      <c r="D824" t="s">
        <v>12</v>
      </c>
      <c r="E824" t="s">
        <v>1830</v>
      </c>
      <c r="F824" t="s">
        <v>1831</v>
      </c>
      <c r="G824" t="s">
        <v>1832</v>
      </c>
    </row>
    <row r="825" spans="1:7" x14ac:dyDescent="0.55000000000000004">
      <c r="A825" t="str">
        <f t="shared" si="26"/>
        <v>19</v>
      </c>
      <c r="B825" t="str">
        <f>"19.0505"</f>
        <v>19.0505</v>
      </c>
      <c r="C825" t="s">
        <v>8</v>
      </c>
      <c r="D825" t="s">
        <v>12</v>
      </c>
      <c r="E825" t="s">
        <v>1833</v>
      </c>
      <c r="F825" t="s">
        <v>1834</v>
      </c>
    </row>
    <row r="826" spans="1:7" x14ac:dyDescent="0.55000000000000004">
      <c r="A826" t="str">
        <f t="shared" si="26"/>
        <v>19</v>
      </c>
      <c r="B826" t="str">
        <f>"19.0599"</f>
        <v>19.0599</v>
      </c>
      <c r="C826" t="s">
        <v>8</v>
      </c>
      <c r="D826" t="s">
        <v>12</v>
      </c>
      <c r="E826" t="s">
        <v>1835</v>
      </c>
      <c r="F826" t="s">
        <v>1836</v>
      </c>
      <c r="G826" t="s">
        <v>1837</v>
      </c>
    </row>
    <row r="827" spans="1:7" x14ac:dyDescent="0.55000000000000004">
      <c r="A827" t="str">
        <f t="shared" si="26"/>
        <v>19</v>
      </c>
      <c r="B827" t="str">
        <f>"19.06"</f>
        <v>19.06</v>
      </c>
      <c r="C827" t="s">
        <v>8</v>
      </c>
      <c r="D827" t="s">
        <v>12</v>
      </c>
      <c r="E827" t="s">
        <v>1838</v>
      </c>
      <c r="F827" t="s">
        <v>1839</v>
      </c>
    </row>
    <row r="828" spans="1:7" x14ac:dyDescent="0.55000000000000004">
      <c r="A828" t="str">
        <f t="shared" si="26"/>
        <v>19</v>
      </c>
      <c r="B828" t="str">
        <f>"19.0601"</f>
        <v>19.0601</v>
      </c>
      <c r="C828" t="s">
        <v>8</v>
      </c>
      <c r="D828" t="s">
        <v>12</v>
      </c>
      <c r="E828" t="s">
        <v>1840</v>
      </c>
      <c r="F828" t="s">
        <v>1841</v>
      </c>
      <c r="G828" t="s">
        <v>1842</v>
      </c>
    </row>
    <row r="829" spans="1:7" x14ac:dyDescent="0.55000000000000004">
      <c r="A829" t="str">
        <f t="shared" si="26"/>
        <v>19</v>
      </c>
      <c r="B829" t="str">
        <f>"19.0604"</f>
        <v>19.0604</v>
      </c>
      <c r="C829" t="s">
        <v>8</v>
      </c>
      <c r="D829" t="s">
        <v>12</v>
      </c>
      <c r="E829" t="s">
        <v>1843</v>
      </c>
      <c r="F829" t="s">
        <v>1844</v>
      </c>
      <c r="G829" t="s">
        <v>1845</v>
      </c>
    </row>
    <row r="830" spans="1:7" x14ac:dyDescent="0.55000000000000004">
      <c r="A830" t="str">
        <f t="shared" si="26"/>
        <v>19</v>
      </c>
      <c r="B830" t="str">
        <f>"19.0605"</f>
        <v>19.0605</v>
      </c>
      <c r="C830" t="s">
        <v>8</v>
      </c>
      <c r="D830" t="s">
        <v>12</v>
      </c>
      <c r="E830" t="s">
        <v>1846</v>
      </c>
      <c r="F830" t="s">
        <v>1847</v>
      </c>
    </row>
    <row r="831" spans="1:7" x14ac:dyDescent="0.55000000000000004">
      <c r="A831" t="str">
        <f t="shared" si="26"/>
        <v>19</v>
      </c>
      <c r="B831" t="str">
        <f>"19.0699"</f>
        <v>19.0699</v>
      </c>
      <c r="C831" t="s">
        <v>8</v>
      </c>
      <c r="D831" t="s">
        <v>12</v>
      </c>
      <c r="E831" t="s">
        <v>1848</v>
      </c>
      <c r="F831" t="s">
        <v>1849</v>
      </c>
    </row>
    <row r="832" spans="1:7" x14ac:dyDescent="0.55000000000000004">
      <c r="A832" t="str">
        <f t="shared" si="26"/>
        <v>19</v>
      </c>
      <c r="B832" t="str">
        <f>"19.07"</f>
        <v>19.07</v>
      </c>
      <c r="C832" t="s">
        <v>8</v>
      </c>
      <c r="D832" t="s">
        <v>12</v>
      </c>
      <c r="E832" t="s">
        <v>1850</v>
      </c>
      <c r="F832" t="s">
        <v>1851</v>
      </c>
    </row>
    <row r="833" spans="1:8" x14ac:dyDescent="0.55000000000000004">
      <c r="A833" t="str">
        <f t="shared" si="26"/>
        <v>19</v>
      </c>
      <c r="B833" t="str">
        <f>"19.0701"</f>
        <v>19.0701</v>
      </c>
      <c r="C833" t="s">
        <v>8</v>
      </c>
      <c r="D833" t="s">
        <v>12</v>
      </c>
      <c r="E833" t="s">
        <v>1852</v>
      </c>
      <c r="F833" t="s">
        <v>1853</v>
      </c>
    </row>
    <row r="834" spans="1:8" x14ac:dyDescent="0.55000000000000004">
      <c r="A834" t="str">
        <f t="shared" si="26"/>
        <v>19</v>
      </c>
      <c r="B834" t="str">
        <f>"19.0702"</f>
        <v>19.0702</v>
      </c>
      <c r="C834" t="s">
        <v>8</v>
      </c>
      <c r="D834" t="s">
        <v>12</v>
      </c>
      <c r="E834" t="s">
        <v>1854</v>
      </c>
      <c r="F834" t="s">
        <v>1855</v>
      </c>
      <c r="G834" t="s">
        <v>1856</v>
      </c>
    </row>
    <row r="835" spans="1:8" x14ac:dyDescent="0.55000000000000004">
      <c r="A835" t="str">
        <f t="shared" si="26"/>
        <v>19</v>
      </c>
      <c r="B835" t="str">
        <f>"19.0704"</f>
        <v>19.0704</v>
      </c>
      <c r="C835" t="s">
        <v>8</v>
      </c>
      <c r="D835" t="s">
        <v>12</v>
      </c>
      <c r="E835" t="s">
        <v>1857</v>
      </c>
      <c r="F835" t="s">
        <v>1858</v>
      </c>
      <c r="G835" t="s">
        <v>1859</v>
      </c>
    </row>
    <row r="836" spans="1:8" x14ac:dyDescent="0.55000000000000004">
      <c r="A836" t="str">
        <f t="shared" si="26"/>
        <v>19</v>
      </c>
      <c r="B836" t="str">
        <f>"19.0706"</f>
        <v>19.0706</v>
      </c>
      <c r="C836" t="s">
        <v>8</v>
      </c>
      <c r="D836" t="s">
        <v>12</v>
      </c>
      <c r="E836" t="s">
        <v>1860</v>
      </c>
      <c r="F836" t="s">
        <v>1861</v>
      </c>
      <c r="G836" t="s">
        <v>1862</v>
      </c>
    </row>
    <row r="837" spans="1:8" x14ac:dyDescent="0.55000000000000004">
      <c r="A837" t="str">
        <f t="shared" si="26"/>
        <v>19</v>
      </c>
      <c r="B837" t="str">
        <f>"19.0707"</f>
        <v>19.0707</v>
      </c>
      <c r="C837" t="s">
        <v>8</v>
      </c>
      <c r="D837" t="s">
        <v>12</v>
      </c>
      <c r="E837" t="s">
        <v>1863</v>
      </c>
      <c r="F837" t="s">
        <v>1864</v>
      </c>
    </row>
    <row r="838" spans="1:8" x14ac:dyDescent="0.55000000000000004">
      <c r="A838" t="str">
        <f t="shared" si="26"/>
        <v>19</v>
      </c>
      <c r="B838" t="str">
        <f>"19.0708"</f>
        <v>19.0708</v>
      </c>
      <c r="C838" t="s">
        <v>8</v>
      </c>
      <c r="D838" t="s">
        <v>12</v>
      </c>
      <c r="E838" t="s">
        <v>1865</v>
      </c>
      <c r="F838" t="s">
        <v>1866</v>
      </c>
    </row>
    <row r="839" spans="1:8" x14ac:dyDescent="0.55000000000000004">
      <c r="A839" t="str">
        <f t="shared" si="26"/>
        <v>19</v>
      </c>
      <c r="B839" t="str">
        <f>"19.0709"</f>
        <v>19.0709</v>
      </c>
      <c r="C839" t="s">
        <v>8</v>
      </c>
      <c r="D839" t="s">
        <v>12</v>
      </c>
      <c r="E839" t="s">
        <v>1867</v>
      </c>
      <c r="F839" t="s">
        <v>1868</v>
      </c>
    </row>
    <row r="840" spans="1:8" x14ac:dyDescent="0.55000000000000004">
      <c r="A840" t="str">
        <f t="shared" si="26"/>
        <v>19</v>
      </c>
      <c r="B840" t="str">
        <f>"19.0710"</f>
        <v>19.0710</v>
      </c>
      <c r="C840" t="s">
        <v>8</v>
      </c>
      <c r="D840" t="s">
        <v>12</v>
      </c>
      <c r="E840" t="s">
        <v>1869</v>
      </c>
      <c r="F840" t="s">
        <v>1870</v>
      </c>
    </row>
    <row r="841" spans="1:8" x14ac:dyDescent="0.55000000000000004">
      <c r="A841" t="str">
        <f t="shared" si="26"/>
        <v>19</v>
      </c>
      <c r="B841" t="str">
        <f>"19.0711"</f>
        <v>19.0711</v>
      </c>
      <c r="C841" t="s">
        <v>47</v>
      </c>
      <c r="D841" t="s">
        <v>12</v>
      </c>
      <c r="E841" t="s">
        <v>1871</v>
      </c>
      <c r="F841" t="s">
        <v>1872</v>
      </c>
      <c r="G841" t="s">
        <v>1873</v>
      </c>
    </row>
    <row r="842" spans="1:8" x14ac:dyDescent="0.55000000000000004">
      <c r="A842" t="str">
        <f t="shared" si="26"/>
        <v>19</v>
      </c>
      <c r="B842" t="str">
        <f>"19.0712"</f>
        <v>19.0712</v>
      </c>
      <c r="C842" t="s">
        <v>47</v>
      </c>
      <c r="D842" t="s">
        <v>12</v>
      </c>
      <c r="E842" t="s">
        <v>1874</v>
      </c>
      <c r="F842" t="s">
        <v>1875</v>
      </c>
      <c r="H842" t="s">
        <v>1876</v>
      </c>
    </row>
    <row r="843" spans="1:8" x14ac:dyDescent="0.55000000000000004">
      <c r="A843" t="str">
        <f t="shared" si="26"/>
        <v>19</v>
      </c>
      <c r="B843" t="str">
        <f>"19.0799"</f>
        <v>19.0799</v>
      </c>
      <c r="C843" t="s">
        <v>8</v>
      </c>
      <c r="D843" t="s">
        <v>12</v>
      </c>
      <c r="E843" t="s">
        <v>1877</v>
      </c>
      <c r="F843" t="s">
        <v>1878</v>
      </c>
    </row>
    <row r="844" spans="1:8" x14ac:dyDescent="0.55000000000000004">
      <c r="A844" t="str">
        <f t="shared" si="26"/>
        <v>19</v>
      </c>
      <c r="B844" t="str">
        <f>"19.09"</f>
        <v>19.09</v>
      </c>
      <c r="C844" t="s">
        <v>8</v>
      </c>
      <c r="D844" t="s">
        <v>12</v>
      </c>
      <c r="E844" t="s">
        <v>1879</v>
      </c>
      <c r="F844" t="s">
        <v>1880</v>
      </c>
    </row>
    <row r="845" spans="1:8" x14ac:dyDescent="0.55000000000000004">
      <c r="A845" t="str">
        <f t="shared" si="26"/>
        <v>19</v>
      </c>
      <c r="B845" t="str">
        <f>"19.0901"</f>
        <v>19.0901</v>
      </c>
      <c r="C845" t="s">
        <v>8</v>
      </c>
      <c r="D845" t="s">
        <v>12</v>
      </c>
      <c r="E845" t="s">
        <v>1881</v>
      </c>
      <c r="F845" t="s">
        <v>1882</v>
      </c>
    </row>
    <row r="846" spans="1:8" x14ac:dyDescent="0.55000000000000004">
      <c r="A846" t="str">
        <f t="shared" si="26"/>
        <v>19</v>
      </c>
      <c r="B846" t="str">
        <f>"19.0902"</f>
        <v>19.0902</v>
      </c>
      <c r="C846" t="s">
        <v>8</v>
      </c>
      <c r="D846" t="s">
        <v>12</v>
      </c>
      <c r="E846" t="s">
        <v>1883</v>
      </c>
      <c r="F846" t="s">
        <v>1884</v>
      </c>
      <c r="G846" t="s">
        <v>1885</v>
      </c>
    </row>
    <row r="847" spans="1:8" x14ac:dyDescent="0.55000000000000004">
      <c r="A847" t="str">
        <f t="shared" si="26"/>
        <v>19</v>
      </c>
      <c r="B847" t="str">
        <f>"19.0904"</f>
        <v>19.0904</v>
      </c>
      <c r="C847" t="s">
        <v>8</v>
      </c>
      <c r="D847" t="s">
        <v>12</v>
      </c>
      <c r="E847" t="s">
        <v>1886</v>
      </c>
      <c r="F847" t="s">
        <v>1887</v>
      </c>
      <c r="G847" t="s">
        <v>1888</v>
      </c>
    </row>
    <row r="848" spans="1:8" x14ac:dyDescent="0.55000000000000004">
      <c r="A848" t="str">
        <f t="shared" si="26"/>
        <v>19</v>
      </c>
      <c r="B848" t="str">
        <f>"19.0905"</f>
        <v>19.0905</v>
      </c>
      <c r="C848" t="s">
        <v>8</v>
      </c>
      <c r="D848" t="s">
        <v>12</v>
      </c>
      <c r="E848" t="s">
        <v>1889</v>
      </c>
      <c r="F848" t="s">
        <v>1890</v>
      </c>
      <c r="G848" t="s">
        <v>1891</v>
      </c>
    </row>
    <row r="849" spans="1:8" x14ac:dyDescent="0.55000000000000004">
      <c r="A849" t="str">
        <f t="shared" si="26"/>
        <v>19</v>
      </c>
      <c r="B849" t="str">
        <f>"19.0906"</f>
        <v>19.0906</v>
      </c>
      <c r="C849" t="s">
        <v>8</v>
      </c>
      <c r="D849" t="s">
        <v>12</v>
      </c>
      <c r="E849" t="s">
        <v>1892</v>
      </c>
      <c r="F849" t="s">
        <v>1893</v>
      </c>
    </row>
    <row r="850" spans="1:8" x14ac:dyDescent="0.55000000000000004">
      <c r="A850" t="str">
        <f t="shared" si="26"/>
        <v>19</v>
      </c>
      <c r="B850" t="str">
        <f>"19.0999"</f>
        <v>19.0999</v>
      </c>
      <c r="C850" t="s">
        <v>8</v>
      </c>
      <c r="D850" t="s">
        <v>12</v>
      </c>
      <c r="E850" t="s">
        <v>1894</v>
      </c>
      <c r="F850" t="s">
        <v>1895</v>
      </c>
    </row>
    <row r="851" spans="1:8" x14ac:dyDescent="0.55000000000000004">
      <c r="A851" t="str">
        <f t="shared" si="26"/>
        <v>19</v>
      </c>
      <c r="B851" t="str">
        <f>"19.10"</f>
        <v>19.10</v>
      </c>
      <c r="C851" t="s">
        <v>173</v>
      </c>
      <c r="D851" t="s">
        <v>12</v>
      </c>
      <c r="E851" t="s">
        <v>1798</v>
      </c>
      <c r="F851" t="s">
        <v>1896</v>
      </c>
    </row>
    <row r="852" spans="1:8" x14ac:dyDescent="0.55000000000000004">
      <c r="A852" t="str">
        <f t="shared" si="26"/>
        <v>19</v>
      </c>
      <c r="B852" t="str">
        <f>"19.1001"</f>
        <v>19.1001</v>
      </c>
      <c r="C852" t="s">
        <v>173</v>
      </c>
      <c r="D852" t="s">
        <v>12</v>
      </c>
      <c r="E852" t="s">
        <v>1798</v>
      </c>
      <c r="F852" t="s">
        <v>1897</v>
      </c>
    </row>
    <row r="853" spans="1:8" x14ac:dyDescent="0.55000000000000004">
      <c r="A853" t="str">
        <f t="shared" si="26"/>
        <v>19</v>
      </c>
      <c r="B853" t="str">
        <f>"19.99"</f>
        <v>19.99</v>
      </c>
      <c r="C853" t="s">
        <v>8</v>
      </c>
      <c r="D853" t="s">
        <v>12</v>
      </c>
      <c r="E853" t="s">
        <v>1898</v>
      </c>
      <c r="F853" t="s">
        <v>1899</v>
      </c>
    </row>
    <row r="854" spans="1:8" x14ac:dyDescent="0.55000000000000004">
      <c r="A854" t="str">
        <f t="shared" si="26"/>
        <v>19</v>
      </c>
      <c r="B854" t="str">
        <f>"19.9999"</f>
        <v>19.9999</v>
      </c>
      <c r="C854" t="s">
        <v>8</v>
      </c>
      <c r="D854" t="s">
        <v>12</v>
      </c>
      <c r="E854" t="s">
        <v>1898</v>
      </c>
      <c r="F854" t="s">
        <v>1900</v>
      </c>
    </row>
    <row r="855" spans="1:8" x14ac:dyDescent="0.55000000000000004">
      <c r="A855" t="str">
        <f>"21"</f>
        <v>21</v>
      </c>
      <c r="B855" t="str">
        <f>"21"</f>
        <v>21</v>
      </c>
      <c r="C855" t="s">
        <v>47</v>
      </c>
      <c r="D855" t="s">
        <v>12</v>
      </c>
      <c r="E855" t="s">
        <v>1901</v>
      </c>
      <c r="F855" t="s">
        <v>1902</v>
      </c>
    </row>
    <row r="856" spans="1:8" x14ac:dyDescent="0.55000000000000004">
      <c r="A856" t="str">
        <f>"21"</f>
        <v>21</v>
      </c>
      <c r="B856" t="str">
        <f>"21.01"</f>
        <v>21.01</v>
      </c>
      <c r="C856" t="s">
        <v>47</v>
      </c>
      <c r="D856" t="s">
        <v>12</v>
      </c>
      <c r="E856" t="s">
        <v>82</v>
      </c>
      <c r="F856" t="s">
        <v>1903</v>
      </c>
    </row>
    <row r="857" spans="1:8" x14ac:dyDescent="0.55000000000000004">
      <c r="A857" t="str">
        <f>"21"</f>
        <v>21</v>
      </c>
      <c r="B857" t="str">
        <f>"21.0101"</f>
        <v>21.0101</v>
      </c>
      <c r="C857" t="s">
        <v>47</v>
      </c>
      <c r="D857" t="s">
        <v>12</v>
      </c>
      <c r="E857" t="s">
        <v>82</v>
      </c>
      <c r="F857" t="s">
        <v>83</v>
      </c>
    </row>
    <row r="858" spans="1:8" x14ac:dyDescent="0.55000000000000004">
      <c r="A858" t="str">
        <f>"22"</f>
        <v>22</v>
      </c>
      <c r="B858" t="str">
        <f>"22"</f>
        <v>22</v>
      </c>
      <c r="C858" t="s">
        <v>8</v>
      </c>
      <c r="D858" t="s">
        <v>12</v>
      </c>
      <c r="E858" t="s">
        <v>1904</v>
      </c>
      <c r="F858" t="s">
        <v>1905</v>
      </c>
    </row>
    <row r="859" spans="1:8" x14ac:dyDescent="0.55000000000000004">
      <c r="A859" t="str">
        <f t="shared" ref="A859:A899" si="27">"22"</f>
        <v>22</v>
      </c>
      <c r="B859" t="str">
        <f>"22.00"</f>
        <v>22.00</v>
      </c>
      <c r="C859" t="s">
        <v>8</v>
      </c>
      <c r="D859" t="s">
        <v>9</v>
      </c>
      <c r="E859" t="s">
        <v>1906</v>
      </c>
      <c r="F859" t="s">
        <v>1907</v>
      </c>
    </row>
    <row r="860" spans="1:8" x14ac:dyDescent="0.55000000000000004">
      <c r="A860" t="str">
        <f t="shared" si="27"/>
        <v>22</v>
      </c>
      <c r="B860" t="str">
        <f>"22.0000"</f>
        <v>22.0000</v>
      </c>
      <c r="C860" t="s">
        <v>8</v>
      </c>
      <c r="D860" t="s">
        <v>9</v>
      </c>
      <c r="E860" t="s">
        <v>1908</v>
      </c>
      <c r="F860" t="s">
        <v>1909</v>
      </c>
      <c r="H860" t="s">
        <v>1910</v>
      </c>
    </row>
    <row r="861" spans="1:8" x14ac:dyDescent="0.55000000000000004">
      <c r="A861" t="str">
        <f t="shared" si="27"/>
        <v>22</v>
      </c>
      <c r="B861" t="str">
        <f>"22.0001"</f>
        <v>22.0001</v>
      </c>
      <c r="C861" t="s">
        <v>8</v>
      </c>
      <c r="D861" t="s">
        <v>12</v>
      </c>
      <c r="E861" t="s">
        <v>1911</v>
      </c>
      <c r="F861" t="s">
        <v>1912</v>
      </c>
    </row>
    <row r="862" spans="1:8" x14ac:dyDescent="0.55000000000000004">
      <c r="A862" t="str">
        <f t="shared" si="27"/>
        <v>22</v>
      </c>
      <c r="B862" t="str">
        <f>"22.0099"</f>
        <v>22.0099</v>
      </c>
      <c r="C862" t="s">
        <v>47</v>
      </c>
      <c r="D862" t="s">
        <v>12</v>
      </c>
      <c r="E862" t="s">
        <v>1913</v>
      </c>
      <c r="F862" t="s">
        <v>1914</v>
      </c>
    </row>
    <row r="863" spans="1:8" x14ac:dyDescent="0.55000000000000004">
      <c r="A863" t="str">
        <f t="shared" si="27"/>
        <v>22</v>
      </c>
      <c r="B863" t="str">
        <f>"22.01"</f>
        <v>22.01</v>
      </c>
      <c r="C863" t="s">
        <v>8</v>
      </c>
      <c r="D863" t="s">
        <v>12</v>
      </c>
      <c r="E863" t="s">
        <v>1915</v>
      </c>
      <c r="F863" t="s">
        <v>1916</v>
      </c>
    </row>
    <row r="864" spans="1:8" x14ac:dyDescent="0.55000000000000004">
      <c r="A864" t="str">
        <f t="shared" si="27"/>
        <v>22</v>
      </c>
      <c r="B864" t="str">
        <f>"22.0101"</f>
        <v>22.0101</v>
      </c>
      <c r="C864" t="s">
        <v>8</v>
      </c>
      <c r="D864" t="s">
        <v>12</v>
      </c>
      <c r="E864" t="s">
        <v>1915</v>
      </c>
      <c r="F864" t="s">
        <v>1917</v>
      </c>
      <c r="H864" t="s">
        <v>1918</v>
      </c>
    </row>
    <row r="865" spans="1:8" x14ac:dyDescent="0.55000000000000004">
      <c r="A865" t="str">
        <f t="shared" si="27"/>
        <v>22</v>
      </c>
      <c r="B865" t="str">
        <f>"22.02"</f>
        <v>22.02</v>
      </c>
      <c r="C865" t="s">
        <v>8</v>
      </c>
      <c r="D865" t="s">
        <v>12</v>
      </c>
      <c r="E865" t="s">
        <v>1919</v>
      </c>
      <c r="F865" t="s">
        <v>1920</v>
      </c>
    </row>
    <row r="866" spans="1:8" x14ac:dyDescent="0.55000000000000004">
      <c r="A866" t="str">
        <f t="shared" si="27"/>
        <v>22</v>
      </c>
      <c r="B866" t="str">
        <f>"22.0201"</f>
        <v>22.0201</v>
      </c>
      <c r="C866" t="s">
        <v>8</v>
      </c>
      <c r="D866" t="s">
        <v>12</v>
      </c>
      <c r="E866" t="s">
        <v>1921</v>
      </c>
      <c r="F866" t="s">
        <v>1922</v>
      </c>
      <c r="H866" t="s">
        <v>1923</v>
      </c>
    </row>
    <row r="867" spans="1:8" x14ac:dyDescent="0.55000000000000004">
      <c r="A867" t="str">
        <f t="shared" si="27"/>
        <v>22</v>
      </c>
      <c r="B867" t="str">
        <f>"22.0202"</f>
        <v>22.0202</v>
      </c>
      <c r="C867" t="s">
        <v>8</v>
      </c>
      <c r="D867" t="s">
        <v>12</v>
      </c>
      <c r="E867" t="s">
        <v>1924</v>
      </c>
      <c r="F867" t="s">
        <v>1925</v>
      </c>
      <c r="H867" t="s">
        <v>1926</v>
      </c>
    </row>
    <row r="868" spans="1:8" x14ac:dyDescent="0.55000000000000004">
      <c r="A868" t="str">
        <f t="shared" si="27"/>
        <v>22</v>
      </c>
      <c r="B868" t="str">
        <f>"22.0203"</f>
        <v>22.0203</v>
      </c>
      <c r="C868" t="s">
        <v>8</v>
      </c>
      <c r="D868" t="s">
        <v>12</v>
      </c>
      <c r="E868" t="s">
        <v>1927</v>
      </c>
      <c r="F868" t="s">
        <v>1928</v>
      </c>
      <c r="H868" t="s">
        <v>1929</v>
      </c>
    </row>
    <row r="869" spans="1:8" x14ac:dyDescent="0.55000000000000004">
      <c r="A869" t="str">
        <f t="shared" si="27"/>
        <v>22</v>
      </c>
      <c r="B869" t="str">
        <f>"22.0204"</f>
        <v>22.0204</v>
      </c>
      <c r="C869" t="s">
        <v>8</v>
      </c>
      <c r="D869" t="s">
        <v>12</v>
      </c>
      <c r="E869" t="s">
        <v>1930</v>
      </c>
      <c r="F869" t="s">
        <v>1931</v>
      </c>
      <c r="H869" t="s">
        <v>1932</v>
      </c>
    </row>
    <row r="870" spans="1:8" x14ac:dyDescent="0.55000000000000004">
      <c r="A870" t="str">
        <f t="shared" si="27"/>
        <v>22</v>
      </c>
      <c r="B870" t="str">
        <f>"22.0205"</f>
        <v>22.0205</v>
      </c>
      <c r="C870" t="s">
        <v>8</v>
      </c>
      <c r="D870" t="s">
        <v>12</v>
      </c>
      <c r="E870" t="s">
        <v>1933</v>
      </c>
      <c r="F870" t="s">
        <v>1934</v>
      </c>
      <c r="H870" t="s">
        <v>1935</v>
      </c>
    </row>
    <row r="871" spans="1:8" x14ac:dyDescent="0.55000000000000004">
      <c r="A871" t="str">
        <f t="shared" si="27"/>
        <v>22</v>
      </c>
      <c r="B871" t="str">
        <f>"22.0206"</f>
        <v>22.0206</v>
      </c>
      <c r="C871" t="s">
        <v>8</v>
      </c>
      <c r="D871" t="s">
        <v>12</v>
      </c>
      <c r="E871" t="s">
        <v>1936</v>
      </c>
      <c r="F871" t="s">
        <v>1937</v>
      </c>
      <c r="H871" t="s">
        <v>1938</v>
      </c>
    </row>
    <row r="872" spans="1:8" x14ac:dyDescent="0.55000000000000004">
      <c r="A872" t="str">
        <f t="shared" si="27"/>
        <v>22</v>
      </c>
      <c r="B872" t="str">
        <f>"22.0207"</f>
        <v>22.0207</v>
      </c>
      <c r="C872" t="s">
        <v>8</v>
      </c>
      <c r="D872" t="s">
        <v>12</v>
      </c>
      <c r="E872" t="s">
        <v>1939</v>
      </c>
      <c r="F872" t="s">
        <v>1940</v>
      </c>
      <c r="H872" t="s">
        <v>1941</v>
      </c>
    </row>
    <row r="873" spans="1:8" x14ac:dyDescent="0.55000000000000004">
      <c r="A873" t="str">
        <f t="shared" si="27"/>
        <v>22</v>
      </c>
      <c r="B873" t="str">
        <f>"22.0208"</f>
        <v>22.0208</v>
      </c>
      <c r="C873" t="s">
        <v>8</v>
      </c>
      <c r="D873" t="s">
        <v>12</v>
      </c>
      <c r="E873" t="s">
        <v>1942</v>
      </c>
      <c r="F873" t="s">
        <v>1943</v>
      </c>
      <c r="H873" t="s">
        <v>1944</v>
      </c>
    </row>
    <row r="874" spans="1:8" x14ac:dyDescent="0.55000000000000004">
      <c r="A874" t="str">
        <f t="shared" si="27"/>
        <v>22</v>
      </c>
      <c r="B874" t="str">
        <f>"22.0209"</f>
        <v>22.0209</v>
      </c>
      <c r="C874" t="s">
        <v>8</v>
      </c>
      <c r="D874" t="s">
        <v>12</v>
      </c>
      <c r="E874" t="s">
        <v>1945</v>
      </c>
      <c r="F874" t="s">
        <v>1946</v>
      </c>
      <c r="H874" t="s">
        <v>1947</v>
      </c>
    </row>
    <row r="875" spans="1:8" x14ac:dyDescent="0.55000000000000004">
      <c r="A875" t="str">
        <f t="shared" si="27"/>
        <v>22</v>
      </c>
      <c r="B875" t="str">
        <f>"22.0210"</f>
        <v>22.0210</v>
      </c>
      <c r="C875" t="s">
        <v>8</v>
      </c>
      <c r="D875" t="s">
        <v>12</v>
      </c>
      <c r="E875" t="s">
        <v>1948</v>
      </c>
      <c r="F875" t="s">
        <v>1949</v>
      </c>
      <c r="H875" t="s">
        <v>1950</v>
      </c>
    </row>
    <row r="876" spans="1:8" x14ac:dyDescent="0.55000000000000004">
      <c r="A876" t="str">
        <f t="shared" si="27"/>
        <v>22</v>
      </c>
      <c r="B876" t="str">
        <f>"22.0211"</f>
        <v>22.0211</v>
      </c>
      <c r="C876" t="s">
        <v>8</v>
      </c>
      <c r="D876" t="s">
        <v>12</v>
      </c>
      <c r="E876" t="s">
        <v>1951</v>
      </c>
      <c r="F876" t="s">
        <v>1952</v>
      </c>
      <c r="H876" t="s">
        <v>1953</v>
      </c>
    </row>
    <row r="877" spans="1:8" x14ac:dyDescent="0.55000000000000004">
      <c r="A877" t="str">
        <f t="shared" si="27"/>
        <v>22</v>
      </c>
      <c r="B877" t="str">
        <f>"22.0212"</f>
        <v>22.0212</v>
      </c>
      <c r="C877" t="s">
        <v>8</v>
      </c>
      <c r="D877" t="s">
        <v>12</v>
      </c>
      <c r="E877" t="s">
        <v>1954</v>
      </c>
      <c r="F877" t="s">
        <v>1955</v>
      </c>
      <c r="H877" t="s">
        <v>1956</v>
      </c>
    </row>
    <row r="878" spans="1:8" x14ac:dyDescent="0.55000000000000004">
      <c r="A878" t="str">
        <f t="shared" si="27"/>
        <v>22</v>
      </c>
      <c r="B878" t="str">
        <f>"22.0213"</f>
        <v>22.0213</v>
      </c>
      <c r="C878" t="s">
        <v>47</v>
      </c>
      <c r="D878" t="s">
        <v>12</v>
      </c>
      <c r="E878" t="s">
        <v>1957</v>
      </c>
      <c r="F878" t="s">
        <v>1958</v>
      </c>
      <c r="H878" t="s">
        <v>1959</v>
      </c>
    </row>
    <row r="879" spans="1:8" x14ac:dyDescent="0.55000000000000004">
      <c r="A879" t="str">
        <f t="shared" si="27"/>
        <v>22</v>
      </c>
      <c r="B879" t="str">
        <f>"22.0214"</f>
        <v>22.0214</v>
      </c>
      <c r="C879" t="s">
        <v>47</v>
      </c>
      <c r="D879" t="s">
        <v>12</v>
      </c>
      <c r="E879" t="s">
        <v>1960</v>
      </c>
      <c r="F879" t="s">
        <v>1961</v>
      </c>
      <c r="H879" t="s">
        <v>1962</v>
      </c>
    </row>
    <row r="880" spans="1:8" x14ac:dyDescent="0.55000000000000004">
      <c r="A880" t="str">
        <f t="shared" si="27"/>
        <v>22</v>
      </c>
      <c r="B880" t="str">
        <f>"22.0215"</f>
        <v>22.0215</v>
      </c>
      <c r="C880" t="s">
        <v>47</v>
      </c>
      <c r="D880" t="s">
        <v>12</v>
      </c>
      <c r="E880" t="s">
        <v>1963</v>
      </c>
      <c r="F880" t="s">
        <v>1964</v>
      </c>
      <c r="H880" t="s">
        <v>1965</v>
      </c>
    </row>
    <row r="881" spans="1:8" x14ac:dyDescent="0.55000000000000004">
      <c r="A881" t="str">
        <f t="shared" si="27"/>
        <v>22</v>
      </c>
      <c r="B881" t="str">
        <f>"22.0216"</f>
        <v>22.0216</v>
      </c>
      <c r="C881" t="s">
        <v>47</v>
      </c>
      <c r="D881" t="s">
        <v>12</v>
      </c>
      <c r="E881" t="s">
        <v>1966</v>
      </c>
      <c r="F881" t="s">
        <v>1967</v>
      </c>
      <c r="H881" t="s">
        <v>1968</v>
      </c>
    </row>
    <row r="882" spans="1:8" x14ac:dyDescent="0.55000000000000004">
      <c r="A882" t="str">
        <f t="shared" si="27"/>
        <v>22</v>
      </c>
      <c r="B882" t="str">
        <f>"22.0217"</f>
        <v>22.0217</v>
      </c>
      <c r="C882" t="s">
        <v>47</v>
      </c>
      <c r="D882" t="s">
        <v>12</v>
      </c>
      <c r="E882" t="s">
        <v>1969</v>
      </c>
      <c r="F882" t="s">
        <v>1970</v>
      </c>
      <c r="H882" t="s">
        <v>1971</v>
      </c>
    </row>
    <row r="883" spans="1:8" x14ac:dyDescent="0.55000000000000004">
      <c r="A883" t="str">
        <f t="shared" si="27"/>
        <v>22</v>
      </c>
      <c r="B883" t="str">
        <f>"22.0218"</f>
        <v>22.0218</v>
      </c>
      <c r="C883" t="s">
        <v>47</v>
      </c>
      <c r="D883" t="s">
        <v>12</v>
      </c>
      <c r="E883" t="s">
        <v>1972</v>
      </c>
      <c r="F883" t="s">
        <v>1973</v>
      </c>
    </row>
    <row r="884" spans="1:8" x14ac:dyDescent="0.55000000000000004">
      <c r="A884" t="str">
        <f t="shared" si="27"/>
        <v>22</v>
      </c>
      <c r="B884" t="str">
        <f>"22.0219"</f>
        <v>22.0219</v>
      </c>
      <c r="C884" t="s">
        <v>47</v>
      </c>
      <c r="D884" t="s">
        <v>12</v>
      </c>
      <c r="E884" t="s">
        <v>1974</v>
      </c>
      <c r="F884" t="s">
        <v>1975</v>
      </c>
    </row>
    <row r="885" spans="1:8" x14ac:dyDescent="0.55000000000000004">
      <c r="A885" t="str">
        <f t="shared" si="27"/>
        <v>22</v>
      </c>
      <c r="B885" t="str">
        <f>"22.0220"</f>
        <v>22.0220</v>
      </c>
      <c r="C885" t="s">
        <v>47</v>
      </c>
      <c r="D885" t="s">
        <v>12</v>
      </c>
      <c r="E885" t="s">
        <v>1976</v>
      </c>
      <c r="F885" t="s">
        <v>1977</v>
      </c>
      <c r="H885" t="s">
        <v>1978</v>
      </c>
    </row>
    <row r="886" spans="1:8" x14ac:dyDescent="0.55000000000000004">
      <c r="A886" t="str">
        <f t="shared" si="27"/>
        <v>22</v>
      </c>
      <c r="B886" t="str">
        <f>"22.0221"</f>
        <v>22.0221</v>
      </c>
      <c r="C886" t="s">
        <v>47</v>
      </c>
      <c r="D886" t="s">
        <v>12</v>
      </c>
      <c r="E886" t="s">
        <v>1979</v>
      </c>
      <c r="F886" t="s">
        <v>1980</v>
      </c>
    </row>
    <row r="887" spans="1:8" x14ac:dyDescent="0.55000000000000004">
      <c r="A887" t="str">
        <f t="shared" si="27"/>
        <v>22</v>
      </c>
      <c r="B887" t="str">
        <f>"22.0222"</f>
        <v>22.0222</v>
      </c>
      <c r="C887" t="s">
        <v>47</v>
      </c>
      <c r="D887" t="s">
        <v>12</v>
      </c>
      <c r="E887" t="s">
        <v>1981</v>
      </c>
      <c r="F887" t="s">
        <v>1982</v>
      </c>
    </row>
    <row r="888" spans="1:8" x14ac:dyDescent="0.55000000000000004">
      <c r="A888" t="str">
        <f t="shared" si="27"/>
        <v>22</v>
      </c>
      <c r="B888" t="str">
        <f>"22.0223"</f>
        <v>22.0223</v>
      </c>
      <c r="C888" t="s">
        <v>47</v>
      </c>
      <c r="D888" t="s">
        <v>12</v>
      </c>
      <c r="E888" t="s">
        <v>1983</v>
      </c>
      <c r="F888" t="s">
        <v>1984</v>
      </c>
      <c r="H888" t="s">
        <v>1985</v>
      </c>
    </row>
    <row r="889" spans="1:8" x14ac:dyDescent="0.55000000000000004">
      <c r="A889" t="str">
        <f t="shared" si="27"/>
        <v>22</v>
      </c>
      <c r="B889" t="str">
        <f>"22.0224"</f>
        <v>22.0224</v>
      </c>
      <c r="C889" t="s">
        <v>47</v>
      </c>
      <c r="D889" t="s">
        <v>12</v>
      </c>
      <c r="E889" t="s">
        <v>1986</v>
      </c>
      <c r="F889" t="s">
        <v>1987</v>
      </c>
      <c r="H889" t="s">
        <v>1988</v>
      </c>
    </row>
    <row r="890" spans="1:8" x14ac:dyDescent="0.55000000000000004">
      <c r="A890" t="str">
        <f t="shared" si="27"/>
        <v>22</v>
      </c>
      <c r="B890" t="str">
        <f>"22.0299"</f>
        <v>22.0299</v>
      </c>
      <c r="C890" t="s">
        <v>8</v>
      </c>
      <c r="D890" t="s">
        <v>12</v>
      </c>
      <c r="E890" t="s">
        <v>1989</v>
      </c>
      <c r="F890" t="s">
        <v>1990</v>
      </c>
      <c r="H890" t="s">
        <v>1991</v>
      </c>
    </row>
    <row r="891" spans="1:8" x14ac:dyDescent="0.55000000000000004">
      <c r="A891" t="str">
        <f t="shared" si="27"/>
        <v>22</v>
      </c>
      <c r="B891" t="str">
        <f>"22.03"</f>
        <v>22.03</v>
      </c>
      <c r="C891" t="s">
        <v>8</v>
      </c>
      <c r="D891" t="s">
        <v>12</v>
      </c>
      <c r="E891" t="s">
        <v>1992</v>
      </c>
      <c r="F891" t="s">
        <v>1993</v>
      </c>
    </row>
    <row r="892" spans="1:8" x14ac:dyDescent="0.55000000000000004">
      <c r="A892" t="str">
        <f t="shared" si="27"/>
        <v>22</v>
      </c>
      <c r="B892" t="str">
        <f>"22.0301"</f>
        <v>22.0301</v>
      </c>
      <c r="C892" t="s">
        <v>8</v>
      </c>
      <c r="D892" t="s">
        <v>12</v>
      </c>
      <c r="E892" t="s">
        <v>1994</v>
      </c>
      <c r="F892" t="s">
        <v>1995</v>
      </c>
    </row>
    <row r="893" spans="1:8" x14ac:dyDescent="0.55000000000000004">
      <c r="A893" t="str">
        <f t="shared" si="27"/>
        <v>22</v>
      </c>
      <c r="B893" t="str">
        <f>"22.0302"</f>
        <v>22.0302</v>
      </c>
      <c r="C893" t="s">
        <v>8</v>
      </c>
      <c r="D893" t="s">
        <v>12</v>
      </c>
      <c r="E893" t="s">
        <v>1996</v>
      </c>
      <c r="F893" t="s">
        <v>1997</v>
      </c>
    </row>
    <row r="894" spans="1:8" x14ac:dyDescent="0.55000000000000004">
      <c r="A894" t="str">
        <f t="shared" si="27"/>
        <v>22</v>
      </c>
      <c r="B894" t="str">
        <f>"22.0303"</f>
        <v>22.0303</v>
      </c>
      <c r="C894" t="s">
        <v>8</v>
      </c>
      <c r="D894" t="s">
        <v>9</v>
      </c>
      <c r="E894" t="s">
        <v>1998</v>
      </c>
      <c r="F894" t="s">
        <v>1999</v>
      </c>
      <c r="G894" t="s">
        <v>2000</v>
      </c>
    </row>
    <row r="895" spans="1:8" x14ac:dyDescent="0.55000000000000004">
      <c r="A895" t="str">
        <f t="shared" si="27"/>
        <v>22</v>
      </c>
      <c r="B895" t="str">
        <f>"22.0304"</f>
        <v>22.0304</v>
      </c>
      <c r="C895" t="s">
        <v>47</v>
      </c>
      <c r="D895" t="s">
        <v>12</v>
      </c>
      <c r="E895" t="s">
        <v>2001</v>
      </c>
      <c r="F895" t="s">
        <v>2002</v>
      </c>
    </row>
    <row r="896" spans="1:8" x14ac:dyDescent="0.55000000000000004">
      <c r="A896" t="str">
        <f t="shared" si="27"/>
        <v>22</v>
      </c>
      <c r="B896" t="str">
        <f>"22.0305"</f>
        <v>22.0305</v>
      </c>
      <c r="C896" t="s">
        <v>47</v>
      </c>
      <c r="D896" t="s">
        <v>12</v>
      </c>
      <c r="E896" t="s">
        <v>2003</v>
      </c>
      <c r="F896" t="s">
        <v>2004</v>
      </c>
      <c r="H896" t="s">
        <v>2005</v>
      </c>
    </row>
    <row r="897" spans="1:8" x14ac:dyDescent="0.55000000000000004">
      <c r="A897" t="str">
        <f t="shared" si="27"/>
        <v>22</v>
      </c>
      <c r="B897" t="str">
        <f>"22.0399"</f>
        <v>22.0399</v>
      </c>
      <c r="C897" t="s">
        <v>8</v>
      </c>
      <c r="D897" t="s">
        <v>12</v>
      </c>
      <c r="E897" t="s">
        <v>2006</v>
      </c>
      <c r="F897" t="s">
        <v>2007</v>
      </c>
    </row>
    <row r="898" spans="1:8" x14ac:dyDescent="0.55000000000000004">
      <c r="A898" t="str">
        <f t="shared" si="27"/>
        <v>22</v>
      </c>
      <c r="B898" t="str">
        <f>"22.99"</f>
        <v>22.99</v>
      </c>
      <c r="C898" t="s">
        <v>8</v>
      </c>
      <c r="D898" t="s">
        <v>12</v>
      </c>
      <c r="E898" t="s">
        <v>2008</v>
      </c>
      <c r="F898" t="s">
        <v>2009</v>
      </c>
    </row>
    <row r="899" spans="1:8" x14ac:dyDescent="0.55000000000000004">
      <c r="A899" t="str">
        <f t="shared" si="27"/>
        <v>22</v>
      </c>
      <c r="B899" t="str">
        <f>"22.9999"</f>
        <v>22.9999</v>
      </c>
      <c r="C899" t="s">
        <v>8</v>
      </c>
      <c r="D899" t="s">
        <v>12</v>
      </c>
      <c r="E899" t="s">
        <v>2008</v>
      </c>
      <c r="F899" t="s">
        <v>2010</v>
      </c>
    </row>
    <row r="900" spans="1:8" x14ac:dyDescent="0.55000000000000004">
      <c r="A900" t="str">
        <f>"23"</f>
        <v>23</v>
      </c>
      <c r="B900" t="str">
        <f>"23"</f>
        <v>23</v>
      </c>
      <c r="C900" t="s">
        <v>8</v>
      </c>
      <c r="D900" t="s">
        <v>12</v>
      </c>
      <c r="E900" t="s">
        <v>2011</v>
      </c>
      <c r="F900" t="s">
        <v>2012</v>
      </c>
    </row>
    <row r="901" spans="1:8" x14ac:dyDescent="0.55000000000000004">
      <c r="A901" t="str">
        <f t="shared" ref="A901:A917" si="28">"23"</f>
        <v>23</v>
      </c>
      <c r="B901" t="str">
        <f>"23.01"</f>
        <v>23.01</v>
      </c>
      <c r="C901" t="s">
        <v>8</v>
      </c>
      <c r="D901" t="s">
        <v>12</v>
      </c>
      <c r="E901" t="s">
        <v>2013</v>
      </c>
      <c r="F901" t="s">
        <v>2014</v>
      </c>
    </row>
    <row r="902" spans="1:8" x14ac:dyDescent="0.55000000000000004">
      <c r="A902" t="str">
        <f t="shared" si="28"/>
        <v>23</v>
      </c>
      <c r="B902" t="str">
        <f>"23.0101"</f>
        <v>23.0101</v>
      </c>
      <c r="C902" t="s">
        <v>8</v>
      </c>
      <c r="D902" t="s">
        <v>12</v>
      </c>
      <c r="E902" t="s">
        <v>2013</v>
      </c>
      <c r="F902" t="s">
        <v>2015</v>
      </c>
      <c r="G902" t="s">
        <v>2016</v>
      </c>
    </row>
    <row r="903" spans="1:8" x14ac:dyDescent="0.55000000000000004">
      <c r="A903" t="str">
        <f t="shared" si="28"/>
        <v>23</v>
      </c>
      <c r="B903" t="str">
        <f>"23.13"</f>
        <v>23.13</v>
      </c>
      <c r="C903" t="s">
        <v>8</v>
      </c>
      <c r="D903" t="s">
        <v>12</v>
      </c>
      <c r="E903" t="s">
        <v>2017</v>
      </c>
      <c r="F903" t="s">
        <v>2018</v>
      </c>
    </row>
    <row r="904" spans="1:8" x14ac:dyDescent="0.55000000000000004">
      <c r="A904" t="str">
        <f t="shared" si="28"/>
        <v>23</v>
      </c>
      <c r="B904" t="str">
        <f>"23.1301"</f>
        <v>23.1301</v>
      </c>
      <c r="C904" t="s">
        <v>8</v>
      </c>
      <c r="D904" t="s">
        <v>12</v>
      </c>
      <c r="E904" t="s">
        <v>2019</v>
      </c>
      <c r="F904" t="s">
        <v>2020</v>
      </c>
      <c r="H904" t="s">
        <v>2021</v>
      </c>
    </row>
    <row r="905" spans="1:8" x14ac:dyDescent="0.55000000000000004">
      <c r="A905" t="str">
        <f t="shared" si="28"/>
        <v>23</v>
      </c>
      <c r="B905" t="str">
        <f>"23.1302"</f>
        <v>23.1302</v>
      </c>
      <c r="C905" t="s">
        <v>8</v>
      </c>
      <c r="D905" t="s">
        <v>12</v>
      </c>
      <c r="E905" t="s">
        <v>2022</v>
      </c>
      <c r="F905" t="s">
        <v>2023</v>
      </c>
      <c r="G905" t="s">
        <v>2024</v>
      </c>
    </row>
    <row r="906" spans="1:8" x14ac:dyDescent="0.55000000000000004">
      <c r="A906" t="str">
        <f t="shared" si="28"/>
        <v>23</v>
      </c>
      <c r="B906" t="str">
        <f>"23.1303"</f>
        <v>23.1303</v>
      </c>
      <c r="C906" t="s">
        <v>8</v>
      </c>
      <c r="D906" t="s">
        <v>12</v>
      </c>
      <c r="E906" t="s">
        <v>2025</v>
      </c>
      <c r="F906" t="s">
        <v>2026</v>
      </c>
      <c r="G906" t="s">
        <v>2027</v>
      </c>
      <c r="H906" t="s">
        <v>2028</v>
      </c>
    </row>
    <row r="907" spans="1:8" x14ac:dyDescent="0.55000000000000004">
      <c r="A907" t="str">
        <f t="shared" si="28"/>
        <v>23</v>
      </c>
      <c r="B907" t="str">
        <f>"23.1304"</f>
        <v>23.1304</v>
      </c>
      <c r="C907" t="s">
        <v>8</v>
      </c>
      <c r="D907" t="s">
        <v>12</v>
      </c>
      <c r="E907" t="s">
        <v>2029</v>
      </c>
      <c r="F907" t="s">
        <v>2030</v>
      </c>
      <c r="G907" t="s">
        <v>2031</v>
      </c>
      <c r="H907" t="s">
        <v>2032</v>
      </c>
    </row>
    <row r="908" spans="1:8" x14ac:dyDescent="0.55000000000000004">
      <c r="A908" t="str">
        <f t="shared" si="28"/>
        <v>23</v>
      </c>
      <c r="B908" t="str">
        <f>"23.1399"</f>
        <v>23.1399</v>
      </c>
      <c r="C908" t="s">
        <v>8</v>
      </c>
      <c r="D908" t="s">
        <v>12</v>
      </c>
      <c r="E908" t="s">
        <v>2033</v>
      </c>
      <c r="F908" t="s">
        <v>2034</v>
      </c>
    </row>
    <row r="909" spans="1:8" x14ac:dyDescent="0.55000000000000004">
      <c r="A909" t="str">
        <f t="shared" si="28"/>
        <v>23</v>
      </c>
      <c r="B909" t="str">
        <f>"23.14"</f>
        <v>23.14</v>
      </c>
      <c r="C909" t="s">
        <v>8</v>
      </c>
      <c r="D909" t="s">
        <v>12</v>
      </c>
      <c r="E909" t="s">
        <v>2035</v>
      </c>
      <c r="F909" t="s">
        <v>2036</v>
      </c>
    </row>
    <row r="910" spans="1:8" x14ac:dyDescent="0.55000000000000004">
      <c r="A910" t="str">
        <f t="shared" si="28"/>
        <v>23</v>
      </c>
      <c r="B910" t="str">
        <f>"23.1401"</f>
        <v>23.1401</v>
      </c>
      <c r="C910" t="s">
        <v>8</v>
      </c>
      <c r="D910" t="s">
        <v>12</v>
      </c>
      <c r="E910" t="s">
        <v>2037</v>
      </c>
      <c r="F910" t="s">
        <v>2038</v>
      </c>
      <c r="G910" t="s">
        <v>2039</v>
      </c>
      <c r="H910" t="s">
        <v>2040</v>
      </c>
    </row>
    <row r="911" spans="1:8" x14ac:dyDescent="0.55000000000000004">
      <c r="A911" t="str">
        <f t="shared" si="28"/>
        <v>23</v>
      </c>
      <c r="B911" t="str">
        <f>"23.1402"</f>
        <v>23.1402</v>
      </c>
      <c r="C911" t="s">
        <v>8</v>
      </c>
      <c r="D911" t="s">
        <v>12</v>
      </c>
      <c r="E911" t="s">
        <v>2041</v>
      </c>
      <c r="F911" t="s">
        <v>2042</v>
      </c>
    </row>
    <row r="912" spans="1:8" x14ac:dyDescent="0.55000000000000004">
      <c r="A912" t="str">
        <f t="shared" si="28"/>
        <v>23</v>
      </c>
      <c r="B912" t="str">
        <f>"23.1403"</f>
        <v>23.1403</v>
      </c>
      <c r="C912" t="s">
        <v>8</v>
      </c>
      <c r="D912" t="s">
        <v>12</v>
      </c>
      <c r="E912" t="s">
        <v>2043</v>
      </c>
      <c r="F912" t="s">
        <v>2044</v>
      </c>
    </row>
    <row r="913" spans="1:8" x14ac:dyDescent="0.55000000000000004">
      <c r="A913" t="str">
        <f t="shared" si="28"/>
        <v>23</v>
      </c>
      <c r="B913" t="str">
        <f>"23.1404"</f>
        <v>23.1404</v>
      </c>
      <c r="C913" t="s">
        <v>8</v>
      </c>
      <c r="D913" t="s">
        <v>12</v>
      </c>
      <c r="E913" t="s">
        <v>2045</v>
      </c>
      <c r="F913" t="s">
        <v>2046</v>
      </c>
    </row>
    <row r="914" spans="1:8" x14ac:dyDescent="0.55000000000000004">
      <c r="A914" t="str">
        <f t="shared" si="28"/>
        <v>23</v>
      </c>
      <c r="B914" t="str">
        <f>"23.1405"</f>
        <v>23.1405</v>
      </c>
      <c r="C914" t="s">
        <v>8</v>
      </c>
      <c r="D914" t="s">
        <v>12</v>
      </c>
      <c r="E914" t="s">
        <v>2047</v>
      </c>
      <c r="F914" t="s">
        <v>2048</v>
      </c>
      <c r="G914" t="s">
        <v>2049</v>
      </c>
      <c r="H914" t="s">
        <v>2050</v>
      </c>
    </row>
    <row r="915" spans="1:8" x14ac:dyDescent="0.55000000000000004">
      <c r="A915" t="str">
        <f t="shared" si="28"/>
        <v>23</v>
      </c>
      <c r="B915" t="str">
        <f>"23.1499"</f>
        <v>23.1499</v>
      </c>
      <c r="C915" t="s">
        <v>8</v>
      </c>
      <c r="D915" t="s">
        <v>12</v>
      </c>
      <c r="E915" t="s">
        <v>2051</v>
      </c>
      <c r="F915" t="s">
        <v>2052</v>
      </c>
      <c r="G915" t="s">
        <v>2039</v>
      </c>
    </row>
    <row r="916" spans="1:8" x14ac:dyDescent="0.55000000000000004">
      <c r="A916" t="str">
        <f t="shared" si="28"/>
        <v>23</v>
      </c>
      <c r="B916" t="str">
        <f>"23.99"</f>
        <v>23.99</v>
      </c>
      <c r="C916" t="s">
        <v>8</v>
      </c>
      <c r="D916" t="s">
        <v>12</v>
      </c>
      <c r="E916" t="s">
        <v>2053</v>
      </c>
      <c r="F916" t="s">
        <v>2054</v>
      </c>
    </row>
    <row r="917" spans="1:8" x14ac:dyDescent="0.55000000000000004">
      <c r="A917" t="str">
        <f t="shared" si="28"/>
        <v>23</v>
      </c>
      <c r="B917" t="str">
        <f>"23.9999"</f>
        <v>23.9999</v>
      </c>
      <c r="C917" t="s">
        <v>8</v>
      </c>
      <c r="D917" t="s">
        <v>12</v>
      </c>
      <c r="E917" t="s">
        <v>2053</v>
      </c>
      <c r="F917" t="s">
        <v>2055</v>
      </c>
      <c r="H917" t="s">
        <v>2056</v>
      </c>
    </row>
    <row r="918" spans="1:8" x14ac:dyDescent="0.55000000000000004">
      <c r="A918" t="str">
        <f>"24"</f>
        <v>24</v>
      </c>
      <c r="B918" t="str">
        <f>"24"</f>
        <v>24</v>
      </c>
      <c r="C918" t="s">
        <v>8</v>
      </c>
      <c r="D918" t="s">
        <v>12</v>
      </c>
      <c r="E918" t="s">
        <v>2057</v>
      </c>
      <c r="F918" t="s">
        <v>2058</v>
      </c>
    </row>
    <row r="919" spans="1:8" x14ac:dyDescent="0.55000000000000004">
      <c r="A919" t="str">
        <f>"24"</f>
        <v>24</v>
      </c>
      <c r="B919" t="str">
        <f>"24.01"</f>
        <v>24.01</v>
      </c>
      <c r="C919" t="s">
        <v>8</v>
      </c>
      <c r="D919" t="s">
        <v>12</v>
      </c>
      <c r="E919" t="s">
        <v>2059</v>
      </c>
      <c r="F919" t="s">
        <v>2060</v>
      </c>
    </row>
    <row r="920" spans="1:8" x14ac:dyDescent="0.55000000000000004">
      <c r="A920" t="str">
        <f>"24"</f>
        <v>24</v>
      </c>
      <c r="B920" t="str">
        <f>"24.0101"</f>
        <v>24.0101</v>
      </c>
      <c r="C920" t="s">
        <v>8</v>
      </c>
      <c r="D920" t="s">
        <v>12</v>
      </c>
      <c r="E920" t="s">
        <v>2061</v>
      </c>
      <c r="F920" t="s">
        <v>2062</v>
      </c>
    </row>
    <row r="921" spans="1:8" x14ac:dyDescent="0.55000000000000004">
      <c r="A921" t="str">
        <f>"24"</f>
        <v>24</v>
      </c>
      <c r="B921" t="str">
        <f>"24.0102"</f>
        <v>24.0102</v>
      </c>
      <c r="C921" t="s">
        <v>8</v>
      </c>
      <c r="D921" t="s">
        <v>12</v>
      </c>
      <c r="E921" t="s">
        <v>2063</v>
      </c>
      <c r="F921" t="s">
        <v>2064</v>
      </c>
      <c r="H921" t="s">
        <v>2065</v>
      </c>
    </row>
    <row r="922" spans="1:8" x14ac:dyDescent="0.55000000000000004">
      <c r="A922" t="str">
        <f>"24"</f>
        <v>24</v>
      </c>
      <c r="B922" t="str">
        <f>"24.0103"</f>
        <v>24.0103</v>
      </c>
      <c r="C922" t="s">
        <v>8</v>
      </c>
      <c r="D922" t="s">
        <v>12</v>
      </c>
      <c r="E922" t="s">
        <v>2066</v>
      </c>
      <c r="F922" t="s">
        <v>2067</v>
      </c>
    </row>
    <row r="923" spans="1:8" x14ac:dyDescent="0.55000000000000004">
      <c r="A923" t="str">
        <f>"24"</f>
        <v>24</v>
      </c>
      <c r="B923" t="str">
        <f>"24.0199"</f>
        <v>24.0199</v>
      </c>
      <c r="C923" t="s">
        <v>8</v>
      </c>
      <c r="D923" t="s">
        <v>12</v>
      </c>
      <c r="E923" t="s">
        <v>2068</v>
      </c>
      <c r="F923" t="s">
        <v>2069</v>
      </c>
    </row>
    <row r="924" spans="1:8" x14ac:dyDescent="0.55000000000000004">
      <c r="A924" t="str">
        <f>"25"</f>
        <v>25</v>
      </c>
      <c r="B924" t="str">
        <f>"25"</f>
        <v>25</v>
      </c>
      <c r="C924" t="s">
        <v>8</v>
      </c>
      <c r="D924" t="s">
        <v>12</v>
      </c>
      <c r="E924" t="s">
        <v>2070</v>
      </c>
      <c r="F924" t="s">
        <v>2071</v>
      </c>
    </row>
    <row r="925" spans="1:8" x14ac:dyDescent="0.55000000000000004">
      <c r="A925" t="str">
        <f t="shared" ref="A925:A933" si="29">"25"</f>
        <v>25</v>
      </c>
      <c r="B925" t="str">
        <f>"25.01"</f>
        <v>25.01</v>
      </c>
      <c r="C925" t="s">
        <v>8</v>
      </c>
      <c r="D925" t="s">
        <v>12</v>
      </c>
      <c r="E925" t="s">
        <v>2072</v>
      </c>
      <c r="F925" t="s">
        <v>2073</v>
      </c>
    </row>
    <row r="926" spans="1:8" x14ac:dyDescent="0.55000000000000004">
      <c r="A926" t="str">
        <f t="shared" si="29"/>
        <v>25</v>
      </c>
      <c r="B926" t="str">
        <f>"25.0101"</f>
        <v>25.0101</v>
      </c>
      <c r="C926" t="s">
        <v>8</v>
      </c>
      <c r="D926" t="s">
        <v>12</v>
      </c>
      <c r="E926" t="s">
        <v>2074</v>
      </c>
      <c r="F926" t="s">
        <v>2075</v>
      </c>
      <c r="G926" t="s">
        <v>2076</v>
      </c>
      <c r="H926" t="s">
        <v>2077</v>
      </c>
    </row>
    <row r="927" spans="1:8" x14ac:dyDescent="0.55000000000000004">
      <c r="A927" t="str">
        <f t="shared" si="29"/>
        <v>25</v>
      </c>
      <c r="B927" t="str">
        <f>"25.0102"</f>
        <v>25.0102</v>
      </c>
      <c r="C927" t="s">
        <v>8</v>
      </c>
      <c r="D927" t="s">
        <v>12</v>
      </c>
      <c r="E927" t="s">
        <v>2078</v>
      </c>
      <c r="F927" t="s">
        <v>2079</v>
      </c>
      <c r="G927" t="s">
        <v>2080</v>
      </c>
      <c r="H927" t="s">
        <v>2081</v>
      </c>
    </row>
    <row r="928" spans="1:8" x14ac:dyDescent="0.55000000000000004">
      <c r="A928" t="str">
        <f t="shared" si="29"/>
        <v>25</v>
      </c>
      <c r="B928" t="str">
        <f>"25.0103"</f>
        <v>25.0103</v>
      </c>
      <c r="C928" t="s">
        <v>8</v>
      </c>
      <c r="D928" t="s">
        <v>12</v>
      </c>
      <c r="E928" t="s">
        <v>2082</v>
      </c>
      <c r="F928" t="s">
        <v>2083</v>
      </c>
      <c r="G928" t="s">
        <v>2084</v>
      </c>
      <c r="H928" t="s">
        <v>2085</v>
      </c>
    </row>
    <row r="929" spans="1:8" x14ac:dyDescent="0.55000000000000004">
      <c r="A929" t="str">
        <f t="shared" si="29"/>
        <v>25</v>
      </c>
      <c r="B929" t="str">
        <f>"25.0199"</f>
        <v>25.0199</v>
      </c>
      <c r="C929" t="s">
        <v>8</v>
      </c>
      <c r="D929" t="s">
        <v>12</v>
      </c>
      <c r="E929" t="s">
        <v>2086</v>
      </c>
      <c r="F929" t="s">
        <v>2087</v>
      </c>
    </row>
    <row r="930" spans="1:8" x14ac:dyDescent="0.55000000000000004">
      <c r="A930" t="str">
        <f t="shared" si="29"/>
        <v>25</v>
      </c>
      <c r="B930" t="str">
        <f>"25.03"</f>
        <v>25.03</v>
      </c>
      <c r="C930" t="s">
        <v>8</v>
      </c>
      <c r="D930" t="s">
        <v>12</v>
      </c>
      <c r="E930" t="s">
        <v>2088</v>
      </c>
      <c r="F930" t="s">
        <v>2089</v>
      </c>
    </row>
    <row r="931" spans="1:8" x14ac:dyDescent="0.55000000000000004">
      <c r="A931" t="str">
        <f t="shared" si="29"/>
        <v>25</v>
      </c>
      <c r="B931" t="str">
        <f>"25.0301"</f>
        <v>25.0301</v>
      </c>
      <c r="C931" t="s">
        <v>8</v>
      </c>
      <c r="D931" t="s">
        <v>12</v>
      </c>
      <c r="E931" t="s">
        <v>2088</v>
      </c>
      <c r="F931" t="s">
        <v>2090</v>
      </c>
      <c r="H931" t="s">
        <v>2091</v>
      </c>
    </row>
    <row r="932" spans="1:8" x14ac:dyDescent="0.55000000000000004">
      <c r="A932" t="str">
        <f t="shared" si="29"/>
        <v>25</v>
      </c>
      <c r="B932" t="str">
        <f>"25.99"</f>
        <v>25.99</v>
      </c>
      <c r="C932" t="s">
        <v>8</v>
      </c>
      <c r="D932" t="s">
        <v>12</v>
      </c>
      <c r="E932" t="s">
        <v>2092</v>
      </c>
      <c r="F932" t="s">
        <v>2093</v>
      </c>
    </row>
    <row r="933" spans="1:8" x14ac:dyDescent="0.55000000000000004">
      <c r="A933" t="str">
        <f t="shared" si="29"/>
        <v>25</v>
      </c>
      <c r="B933" t="str">
        <f>"25.9999"</f>
        <v>25.9999</v>
      </c>
      <c r="C933" t="s">
        <v>8</v>
      </c>
      <c r="D933" t="s">
        <v>12</v>
      </c>
      <c r="E933" t="s">
        <v>2092</v>
      </c>
      <c r="F933" t="s">
        <v>2094</v>
      </c>
    </row>
    <row r="934" spans="1:8" x14ac:dyDescent="0.55000000000000004">
      <c r="A934" t="str">
        <f>"26"</f>
        <v>26</v>
      </c>
      <c r="B934" t="str">
        <f>"26"</f>
        <v>26</v>
      </c>
      <c r="C934" t="s">
        <v>8</v>
      </c>
      <c r="D934" t="s">
        <v>12</v>
      </c>
      <c r="E934" t="s">
        <v>2095</v>
      </c>
      <c r="F934" t="s">
        <v>2096</v>
      </c>
    </row>
    <row r="935" spans="1:8" x14ac:dyDescent="0.55000000000000004">
      <c r="A935" t="str">
        <f t="shared" ref="A935:A966" si="30">"26"</f>
        <v>26</v>
      </c>
      <c r="B935" t="str">
        <f>"26.01"</f>
        <v>26.01</v>
      </c>
      <c r="C935" t="s">
        <v>8</v>
      </c>
      <c r="D935" t="s">
        <v>12</v>
      </c>
      <c r="E935" t="s">
        <v>2097</v>
      </c>
      <c r="F935" t="s">
        <v>2098</v>
      </c>
    </row>
    <row r="936" spans="1:8" x14ac:dyDescent="0.55000000000000004">
      <c r="A936" t="str">
        <f t="shared" si="30"/>
        <v>26</v>
      </c>
      <c r="B936" t="str">
        <f>"26.0101"</f>
        <v>26.0101</v>
      </c>
      <c r="C936" t="s">
        <v>8</v>
      </c>
      <c r="D936" t="s">
        <v>12</v>
      </c>
      <c r="E936" t="s">
        <v>2099</v>
      </c>
      <c r="F936" t="s">
        <v>2100</v>
      </c>
    </row>
    <row r="937" spans="1:8" x14ac:dyDescent="0.55000000000000004">
      <c r="A937" t="str">
        <f t="shared" si="30"/>
        <v>26</v>
      </c>
      <c r="B937" t="str">
        <f>"26.0102"</f>
        <v>26.0102</v>
      </c>
      <c r="C937" t="s">
        <v>8</v>
      </c>
      <c r="D937" t="s">
        <v>12</v>
      </c>
      <c r="E937" t="s">
        <v>2101</v>
      </c>
      <c r="F937" t="s">
        <v>2102</v>
      </c>
    </row>
    <row r="938" spans="1:8" x14ac:dyDescent="0.55000000000000004">
      <c r="A938" t="str">
        <f t="shared" si="30"/>
        <v>26</v>
      </c>
      <c r="B938" t="str">
        <f>"26.02"</f>
        <v>26.02</v>
      </c>
      <c r="C938" t="s">
        <v>8</v>
      </c>
      <c r="D938" t="s">
        <v>12</v>
      </c>
      <c r="E938" t="s">
        <v>2103</v>
      </c>
      <c r="F938" t="s">
        <v>2104</v>
      </c>
    </row>
    <row r="939" spans="1:8" x14ac:dyDescent="0.55000000000000004">
      <c r="A939" t="str">
        <f t="shared" si="30"/>
        <v>26</v>
      </c>
      <c r="B939" t="str">
        <f>"26.0202"</f>
        <v>26.0202</v>
      </c>
      <c r="C939" t="s">
        <v>8</v>
      </c>
      <c r="D939" t="s">
        <v>12</v>
      </c>
      <c r="E939" t="s">
        <v>2105</v>
      </c>
      <c r="F939" t="s">
        <v>2106</v>
      </c>
    </row>
    <row r="940" spans="1:8" x14ac:dyDescent="0.55000000000000004">
      <c r="A940" t="str">
        <f t="shared" si="30"/>
        <v>26</v>
      </c>
      <c r="B940" t="str">
        <f>"26.0203"</f>
        <v>26.0203</v>
      </c>
      <c r="C940" t="s">
        <v>8</v>
      </c>
      <c r="D940" t="s">
        <v>12</v>
      </c>
      <c r="E940" t="s">
        <v>2107</v>
      </c>
      <c r="F940" t="s">
        <v>2108</v>
      </c>
      <c r="G940" t="s">
        <v>2109</v>
      </c>
    </row>
    <row r="941" spans="1:8" x14ac:dyDescent="0.55000000000000004">
      <c r="A941" t="str">
        <f t="shared" si="30"/>
        <v>26</v>
      </c>
      <c r="B941" t="str">
        <f>"26.0204"</f>
        <v>26.0204</v>
      </c>
      <c r="C941" t="s">
        <v>8</v>
      </c>
      <c r="D941" t="s">
        <v>12</v>
      </c>
      <c r="E941" t="s">
        <v>2110</v>
      </c>
      <c r="F941" t="s">
        <v>2111</v>
      </c>
    </row>
    <row r="942" spans="1:8" x14ac:dyDescent="0.55000000000000004">
      <c r="A942" t="str">
        <f t="shared" si="30"/>
        <v>26</v>
      </c>
      <c r="B942" t="str">
        <f>"26.0205"</f>
        <v>26.0205</v>
      </c>
      <c r="C942" t="s">
        <v>8</v>
      </c>
      <c r="D942" t="s">
        <v>12</v>
      </c>
      <c r="E942" t="s">
        <v>2112</v>
      </c>
      <c r="F942" t="s">
        <v>2113</v>
      </c>
    </row>
    <row r="943" spans="1:8" x14ac:dyDescent="0.55000000000000004">
      <c r="A943" t="str">
        <f t="shared" si="30"/>
        <v>26</v>
      </c>
      <c r="B943" t="str">
        <f>"26.0206"</f>
        <v>26.0206</v>
      </c>
      <c r="C943" t="s">
        <v>8</v>
      </c>
      <c r="D943" t="s">
        <v>12</v>
      </c>
      <c r="E943" t="s">
        <v>2114</v>
      </c>
      <c r="F943" t="s">
        <v>2115</v>
      </c>
    </row>
    <row r="944" spans="1:8" x14ac:dyDescent="0.55000000000000004">
      <c r="A944" t="str">
        <f t="shared" si="30"/>
        <v>26</v>
      </c>
      <c r="B944" t="str">
        <f>"26.0207"</f>
        <v>26.0207</v>
      </c>
      <c r="C944" t="s">
        <v>8</v>
      </c>
      <c r="D944" t="s">
        <v>12</v>
      </c>
      <c r="E944" t="s">
        <v>2116</v>
      </c>
      <c r="F944" t="s">
        <v>2117</v>
      </c>
    </row>
    <row r="945" spans="1:8" x14ac:dyDescent="0.55000000000000004">
      <c r="A945" t="str">
        <f t="shared" si="30"/>
        <v>26</v>
      </c>
      <c r="B945" t="str">
        <f>"26.0208"</f>
        <v>26.0208</v>
      </c>
      <c r="C945" t="s">
        <v>8</v>
      </c>
      <c r="D945" t="s">
        <v>12</v>
      </c>
      <c r="E945" t="s">
        <v>2118</v>
      </c>
      <c r="F945" t="s">
        <v>2119</v>
      </c>
    </row>
    <row r="946" spans="1:8" x14ac:dyDescent="0.55000000000000004">
      <c r="A946" t="str">
        <f t="shared" si="30"/>
        <v>26</v>
      </c>
      <c r="B946" t="str">
        <f>"26.0209"</f>
        <v>26.0209</v>
      </c>
      <c r="C946" t="s">
        <v>8</v>
      </c>
      <c r="D946" t="s">
        <v>12</v>
      </c>
      <c r="E946" t="s">
        <v>2120</v>
      </c>
      <c r="F946" t="s">
        <v>2121</v>
      </c>
    </row>
    <row r="947" spans="1:8" x14ac:dyDescent="0.55000000000000004">
      <c r="A947" t="str">
        <f t="shared" si="30"/>
        <v>26</v>
      </c>
      <c r="B947" t="str">
        <f>"26.0210"</f>
        <v>26.0210</v>
      </c>
      <c r="C947" t="s">
        <v>8</v>
      </c>
      <c r="D947" t="s">
        <v>12</v>
      </c>
      <c r="E947" t="s">
        <v>2122</v>
      </c>
      <c r="F947" t="s">
        <v>2123</v>
      </c>
      <c r="G947" t="s">
        <v>2124</v>
      </c>
    </row>
    <row r="948" spans="1:8" x14ac:dyDescent="0.55000000000000004">
      <c r="A948" t="str">
        <f t="shared" si="30"/>
        <v>26</v>
      </c>
      <c r="B948" t="str">
        <f>"26.0299"</f>
        <v>26.0299</v>
      </c>
      <c r="C948" t="s">
        <v>8</v>
      </c>
      <c r="D948" t="s">
        <v>12</v>
      </c>
      <c r="E948" t="s">
        <v>2125</v>
      </c>
      <c r="F948" t="s">
        <v>2126</v>
      </c>
      <c r="H948" t="s">
        <v>2127</v>
      </c>
    </row>
    <row r="949" spans="1:8" x14ac:dyDescent="0.55000000000000004">
      <c r="A949" t="str">
        <f t="shared" si="30"/>
        <v>26</v>
      </c>
      <c r="B949" t="str">
        <f>"26.03"</f>
        <v>26.03</v>
      </c>
      <c r="C949" t="s">
        <v>8</v>
      </c>
      <c r="D949" t="s">
        <v>12</v>
      </c>
      <c r="E949" t="s">
        <v>2128</v>
      </c>
      <c r="F949" t="s">
        <v>2129</v>
      </c>
    </row>
    <row r="950" spans="1:8" x14ac:dyDescent="0.55000000000000004">
      <c r="A950" t="str">
        <f t="shared" si="30"/>
        <v>26</v>
      </c>
      <c r="B950" t="str">
        <f>"26.0301"</f>
        <v>26.0301</v>
      </c>
      <c r="C950" t="s">
        <v>8</v>
      </c>
      <c r="D950" t="s">
        <v>12</v>
      </c>
      <c r="E950" t="s">
        <v>2128</v>
      </c>
      <c r="F950" t="s">
        <v>2130</v>
      </c>
      <c r="G950" t="s">
        <v>2131</v>
      </c>
    </row>
    <row r="951" spans="1:8" x14ac:dyDescent="0.55000000000000004">
      <c r="A951" t="str">
        <f t="shared" si="30"/>
        <v>26</v>
      </c>
      <c r="B951" t="str">
        <f>"26.0305"</f>
        <v>26.0305</v>
      </c>
      <c r="C951" t="s">
        <v>8</v>
      </c>
      <c r="D951" t="s">
        <v>12</v>
      </c>
      <c r="E951" t="s">
        <v>2132</v>
      </c>
      <c r="F951" t="s">
        <v>2133</v>
      </c>
      <c r="G951" t="s">
        <v>2131</v>
      </c>
    </row>
    <row r="952" spans="1:8" x14ac:dyDescent="0.55000000000000004">
      <c r="A952" t="str">
        <f t="shared" si="30"/>
        <v>26</v>
      </c>
      <c r="B952" t="str">
        <f>"26.0307"</f>
        <v>26.0307</v>
      </c>
      <c r="C952" t="s">
        <v>8</v>
      </c>
      <c r="D952" t="s">
        <v>12</v>
      </c>
      <c r="E952" t="s">
        <v>2134</v>
      </c>
      <c r="F952" t="s">
        <v>2135</v>
      </c>
      <c r="G952" t="s">
        <v>2131</v>
      </c>
    </row>
    <row r="953" spans="1:8" x14ac:dyDescent="0.55000000000000004">
      <c r="A953" t="str">
        <f t="shared" si="30"/>
        <v>26</v>
      </c>
      <c r="B953" t="str">
        <f>"26.0308"</f>
        <v>26.0308</v>
      </c>
      <c r="C953" t="s">
        <v>8</v>
      </c>
      <c r="D953" t="s">
        <v>12</v>
      </c>
      <c r="E953" t="s">
        <v>2136</v>
      </c>
      <c r="F953" t="s">
        <v>2137</v>
      </c>
      <c r="G953" t="s">
        <v>2131</v>
      </c>
    </row>
    <row r="954" spans="1:8" x14ac:dyDescent="0.55000000000000004">
      <c r="A954" t="str">
        <f t="shared" si="30"/>
        <v>26</v>
      </c>
      <c r="B954" t="str">
        <f>"26.0399"</f>
        <v>26.0399</v>
      </c>
      <c r="C954" t="s">
        <v>8</v>
      </c>
      <c r="D954" t="s">
        <v>12</v>
      </c>
      <c r="E954" t="s">
        <v>2138</v>
      </c>
      <c r="F954" t="s">
        <v>2139</v>
      </c>
      <c r="H954" t="s">
        <v>2140</v>
      </c>
    </row>
    <row r="955" spans="1:8" x14ac:dyDescent="0.55000000000000004">
      <c r="A955" t="str">
        <f t="shared" si="30"/>
        <v>26</v>
      </c>
      <c r="B955" t="str">
        <f>"26.04"</f>
        <v>26.04</v>
      </c>
      <c r="C955" t="s">
        <v>8</v>
      </c>
      <c r="D955" t="s">
        <v>12</v>
      </c>
      <c r="E955" t="s">
        <v>2141</v>
      </c>
      <c r="F955" t="s">
        <v>2142</v>
      </c>
    </row>
    <row r="956" spans="1:8" x14ac:dyDescent="0.55000000000000004">
      <c r="A956" t="str">
        <f t="shared" si="30"/>
        <v>26</v>
      </c>
      <c r="B956" t="str">
        <f>"26.0401"</f>
        <v>26.0401</v>
      </c>
      <c r="C956" t="s">
        <v>8</v>
      </c>
      <c r="D956" t="s">
        <v>12</v>
      </c>
      <c r="E956" t="s">
        <v>2143</v>
      </c>
      <c r="F956" t="s">
        <v>2144</v>
      </c>
    </row>
    <row r="957" spans="1:8" x14ac:dyDescent="0.55000000000000004">
      <c r="A957" t="str">
        <f t="shared" si="30"/>
        <v>26</v>
      </c>
      <c r="B957" t="str">
        <f>"26.0403"</f>
        <v>26.0403</v>
      </c>
      <c r="C957" t="s">
        <v>8</v>
      </c>
      <c r="D957" t="s">
        <v>12</v>
      </c>
      <c r="E957" t="s">
        <v>2145</v>
      </c>
      <c r="F957" t="s">
        <v>2146</v>
      </c>
    </row>
    <row r="958" spans="1:8" x14ac:dyDescent="0.55000000000000004">
      <c r="A958" t="str">
        <f t="shared" si="30"/>
        <v>26</v>
      </c>
      <c r="B958" t="str">
        <f>"26.0404"</f>
        <v>26.0404</v>
      </c>
      <c r="C958" t="s">
        <v>8</v>
      </c>
      <c r="D958" t="s">
        <v>12</v>
      </c>
      <c r="E958" t="s">
        <v>2147</v>
      </c>
      <c r="F958" t="s">
        <v>2148</v>
      </c>
    </row>
    <row r="959" spans="1:8" x14ac:dyDescent="0.55000000000000004">
      <c r="A959" t="str">
        <f t="shared" si="30"/>
        <v>26</v>
      </c>
      <c r="B959" t="str">
        <f>"26.0406"</f>
        <v>26.0406</v>
      </c>
      <c r="C959" t="s">
        <v>8</v>
      </c>
      <c r="D959" t="s">
        <v>12</v>
      </c>
      <c r="E959" t="s">
        <v>2149</v>
      </c>
      <c r="F959" t="s">
        <v>2150</v>
      </c>
    </row>
    <row r="960" spans="1:8" x14ac:dyDescent="0.55000000000000004">
      <c r="A960" t="str">
        <f t="shared" si="30"/>
        <v>26</v>
      </c>
      <c r="B960" t="str">
        <f>"26.0407"</f>
        <v>26.0407</v>
      </c>
      <c r="C960" t="s">
        <v>8</v>
      </c>
      <c r="D960" t="s">
        <v>12</v>
      </c>
      <c r="E960" t="s">
        <v>2151</v>
      </c>
      <c r="F960" t="s">
        <v>2152</v>
      </c>
    </row>
    <row r="961" spans="1:8" x14ac:dyDescent="0.55000000000000004">
      <c r="A961" t="str">
        <f t="shared" si="30"/>
        <v>26</v>
      </c>
      <c r="B961" t="str">
        <f>"26.0499"</f>
        <v>26.0499</v>
      </c>
      <c r="C961" t="s">
        <v>8</v>
      </c>
      <c r="D961" t="s">
        <v>12</v>
      </c>
      <c r="E961" t="s">
        <v>2153</v>
      </c>
      <c r="F961" t="s">
        <v>2154</v>
      </c>
      <c r="H961" t="s">
        <v>2155</v>
      </c>
    </row>
    <row r="962" spans="1:8" x14ac:dyDescent="0.55000000000000004">
      <c r="A962" t="str">
        <f t="shared" si="30"/>
        <v>26</v>
      </c>
      <c r="B962" t="str">
        <f>"26.05"</f>
        <v>26.05</v>
      </c>
      <c r="C962" t="s">
        <v>8</v>
      </c>
      <c r="D962" t="s">
        <v>12</v>
      </c>
      <c r="E962" t="s">
        <v>2156</v>
      </c>
      <c r="F962" t="s">
        <v>2157</v>
      </c>
    </row>
    <row r="963" spans="1:8" x14ac:dyDescent="0.55000000000000004">
      <c r="A963" t="str">
        <f t="shared" si="30"/>
        <v>26</v>
      </c>
      <c r="B963" t="str">
        <f>"26.0502"</f>
        <v>26.0502</v>
      </c>
      <c r="C963" t="s">
        <v>8</v>
      </c>
      <c r="D963" t="s">
        <v>12</v>
      </c>
      <c r="E963" t="s">
        <v>2158</v>
      </c>
      <c r="F963" t="s">
        <v>2159</v>
      </c>
    </row>
    <row r="964" spans="1:8" x14ac:dyDescent="0.55000000000000004">
      <c r="A964" t="str">
        <f t="shared" si="30"/>
        <v>26</v>
      </c>
      <c r="B964" t="str">
        <f>"26.0503"</f>
        <v>26.0503</v>
      </c>
      <c r="C964" t="s">
        <v>8</v>
      </c>
      <c r="D964" t="s">
        <v>12</v>
      </c>
      <c r="E964" t="s">
        <v>2160</v>
      </c>
      <c r="F964" t="s">
        <v>2161</v>
      </c>
    </row>
    <row r="965" spans="1:8" x14ac:dyDescent="0.55000000000000004">
      <c r="A965" t="str">
        <f t="shared" si="30"/>
        <v>26</v>
      </c>
      <c r="B965" t="str">
        <f>"26.0504"</f>
        <v>26.0504</v>
      </c>
      <c r="C965" t="s">
        <v>8</v>
      </c>
      <c r="D965" t="s">
        <v>12</v>
      </c>
      <c r="E965" t="s">
        <v>2162</v>
      </c>
      <c r="F965" t="s">
        <v>2163</v>
      </c>
    </row>
    <row r="966" spans="1:8" x14ac:dyDescent="0.55000000000000004">
      <c r="A966" t="str">
        <f t="shared" si="30"/>
        <v>26</v>
      </c>
      <c r="B966" t="str">
        <f>"26.0505"</f>
        <v>26.0505</v>
      </c>
      <c r="C966" t="s">
        <v>8</v>
      </c>
      <c r="D966" t="s">
        <v>12</v>
      </c>
      <c r="E966" t="s">
        <v>2164</v>
      </c>
      <c r="F966" t="s">
        <v>2165</v>
      </c>
    </row>
    <row r="967" spans="1:8" x14ac:dyDescent="0.55000000000000004">
      <c r="A967" t="str">
        <f t="shared" ref="A967:A998" si="31">"26"</f>
        <v>26</v>
      </c>
      <c r="B967" t="str">
        <f>"26.0506"</f>
        <v>26.0506</v>
      </c>
      <c r="C967" t="s">
        <v>8</v>
      </c>
      <c r="D967" t="s">
        <v>12</v>
      </c>
      <c r="E967" t="s">
        <v>2166</v>
      </c>
      <c r="F967" t="s">
        <v>2167</v>
      </c>
    </row>
    <row r="968" spans="1:8" x14ac:dyDescent="0.55000000000000004">
      <c r="A968" t="str">
        <f t="shared" si="31"/>
        <v>26</v>
      </c>
      <c r="B968" t="str">
        <f>"26.0507"</f>
        <v>26.0507</v>
      </c>
      <c r="C968" t="s">
        <v>8</v>
      </c>
      <c r="D968" t="s">
        <v>12</v>
      </c>
      <c r="E968" t="s">
        <v>2168</v>
      </c>
      <c r="F968" t="s">
        <v>2169</v>
      </c>
    </row>
    <row r="969" spans="1:8" x14ac:dyDescent="0.55000000000000004">
      <c r="A969" t="str">
        <f t="shared" si="31"/>
        <v>26</v>
      </c>
      <c r="B969" t="str">
        <f>"26.0508"</f>
        <v>26.0508</v>
      </c>
      <c r="C969" t="s">
        <v>8</v>
      </c>
      <c r="D969" t="s">
        <v>12</v>
      </c>
      <c r="E969" t="s">
        <v>2170</v>
      </c>
      <c r="F969" t="s">
        <v>2171</v>
      </c>
      <c r="G969" t="s">
        <v>2172</v>
      </c>
      <c r="H969" t="s">
        <v>2173</v>
      </c>
    </row>
    <row r="970" spans="1:8" x14ac:dyDescent="0.55000000000000004">
      <c r="A970" t="str">
        <f t="shared" si="31"/>
        <v>26</v>
      </c>
      <c r="B970" t="str">
        <f>"26.0509"</f>
        <v>26.0509</v>
      </c>
      <c r="C970" t="s">
        <v>47</v>
      </c>
      <c r="D970" t="s">
        <v>12</v>
      </c>
      <c r="E970" t="s">
        <v>2174</v>
      </c>
      <c r="F970" t="s">
        <v>2175</v>
      </c>
      <c r="G970" t="s">
        <v>2176</v>
      </c>
    </row>
    <row r="971" spans="1:8" x14ac:dyDescent="0.55000000000000004">
      <c r="A971" t="str">
        <f t="shared" si="31"/>
        <v>26</v>
      </c>
      <c r="B971" t="str">
        <f>"26.0599"</f>
        <v>26.0599</v>
      </c>
      <c r="C971" t="s">
        <v>8</v>
      </c>
      <c r="D971" t="s">
        <v>12</v>
      </c>
      <c r="E971" t="s">
        <v>2177</v>
      </c>
      <c r="F971" t="s">
        <v>2178</v>
      </c>
    </row>
    <row r="972" spans="1:8" x14ac:dyDescent="0.55000000000000004">
      <c r="A972" t="str">
        <f t="shared" si="31"/>
        <v>26</v>
      </c>
      <c r="B972" t="str">
        <f>"26.07"</f>
        <v>26.07</v>
      </c>
      <c r="C972" t="s">
        <v>8</v>
      </c>
      <c r="D972" t="s">
        <v>12</v>
      </c>
      <c r="E972" t="s">
        <v>2179</v>
      </c>
      <c r="F972" t="s">
        <v>2180</v>
      </c>
    </row>
    <row r="973" spans="1:8" x14ac:dyDescent="0.55000000000000004">
      <c r="A973" t="str">
        <f t="shared" si="31"/>
        <v>26</v>
      </c>
      <c r="B973" t="str">
        <f>"26.0701"</f>
        <v>26.0701</v>
      </c>
      <c r="C973" t="s">
        <v>8</v>
      </c>
      <c r="D973" t="s">
        <v>12</v>
      </c>
      <c r="E973" t="s">
        <v>2179</v>
      </c>
      <c r="F973" t="s">
        <v>2181</v>
      </c>
      <c r="G973" t="s">
        <v>2182</v>
      </c>
    </row>
    <row r="974" spans="1:8" x14ac:dyDescent="0.55000000000000004">
      <c r="A974" t="str">
        <f t="shared" si="31"/>
        <v>26</v>
      </c>
      <c r="B974" t="str">
        <f>"26.0702"</f>
        <v>26.0702</v>
      </c>
      <c r="C974" t="s">
        <v>8</v>
      </c>
      <c r="D974" t="s">
        <v>12</v>
      </c>
      <c r="E974" t="s">
        <v>2183</v>
      </c>
      <c r="F974" t="s">
        <v>2184</v>
      </c>
      <c r="G974" t="s">
        <v>2185</v>
      </c>
    </row>
    <row r="975" spans="1:8" x14ac:dyDescent="0.55000000000000004">
      <c r="A975" t="str">
        <f t="shared" si="31"/>
        <v>26</v>
      </c>
      <c r="B975" t="str">
        <f>"26.0707"</f>
        <v>26.0707</v>
      </c>
      <c r="C975" t="s">
        <v>8</v>
      </c>
      <c r="D975" t="s">
        <v>12</v>
      </c>
      <c r="E975" t="s">
        <v>2186</v>
      </c>
      <c r="F975" t="s">
        <v>2187</v>
      </c>
    </row>
    <row r="976" spans="1:8" x14ac:dyDescent="0.55000000000000004">
      <c r="A976" t="str">
        <f t="shared" si="31"/>
        <v>26</v>
      </c>
      <c r="B976" t="str">
        <f>"26.0708"</f>
        <v>26.0708</v>
      </c>
      <c r="C976" t="s">
        <v>8</v>
      </c>
      <c r="D976" t="s">
        <v>12</v>
      </c>
      <c r="E976" t="s">
        <v>2188</v>
      </c>
      <c r="F976" t="s">
        <v>2189</v>
      </c>
    </row>
    <row r="977" spans="1:8" x14ac:dyDescent="0.55000000000000004">
      <c r="A977" t="str">
        <f t="shared" si="31"/>
        <v>26</v>
      </c>
      <c r="B977" t="str">
        <f>"26.0709"</f>
        <v>26.0709</v>
      </c>
      <c r="C977" t="s">
        <v>8</v>
      </c>
      <c r="D977" t="s">
        <v>12</v>
      </c>
      <c r="E977" t="s">
        <v>2190</v>
      </c>
      <c r="F977" t="s">
        <v>2191</v>
      </c>
      <c r="G977" t="s">
        <v>2192</v>
      </c>
      <c r="H977" t="s">
        <v>2193</v>
      </c>
    </row>
    <row r="978" spans="1:8" x14ac:dyDescent="0.55000000000000004">
      <c r="A978" t="str">
        <f t="shared" si="31"/>
        <v>26</v>
      </c>
      <c r="B978" t="str">
        <f>"26.0799"</f>
        <v>26.0799</v>
      </c>
      <c r="C978" t="s">
        <v>8</v>
      </c>
      <c r="D978" t="s">
        <v>12</v>
      </c>
      <c r="E978" t="s">
        <v>2194</v>
      </c>
      <c r="F978" t="s">
        <v>2195</v>
      </c>
    </row>
    <row r="979" spans="1:8" x14ac:dyDescent="0.55000000000000004">
      <c r="A979" t="str">
        <f t="shared" si="31"/>
        <v>26</v>
      </c>
      <c r="B979" t="str">
        <f>"26.08"</f>
        <v>26.08</v>
      </c>
      <c r="C979" t="s">
        <v>8</v>
      </c>
      <c r="D979" t="s">
        <v>12</v>
      </c>
      <c r="E979" t="s">
        <v>2196</v>
      </c>
      <c r="F979" t="s">
        <v>2197</v>
      </c>
    </row>
    <row r="980" spans="1:8" x14ac:dyDescent="0.55000000000000004">
      <c r="A980" t="str">
        <f t="shared" si="31"/>
        <v>26</v>
      </c>
      <c r="B980" t="str">
        <f>"26.0801"</f>
        <v>26.0801</v>
      </c>
      <c r="C980" t="s">
        <v>8</v>
      </c>
      <c r="D980" t="s">
        <v>12</v>
      </c>
      <c r="E980" t="s">
        <v>2198</v>
      </c>
      <c r="F980" t="s">
        <v>2199</v>
      </c>
    </row>
    <row r="981" spans="1:8" x14ac:dyDescent="0.55000000000000004">
      <c r="A981" t="str">
        <f t="shared" si="31"/>
        <v>26</v>
      </c>
      <c r="B981" t="str">
        <f>"26.0802"</f>
        <v>26.0802</v>
      </c>
      <c r="C981" t="s">
        <v>8</v>
      </c>
      <c r="D981" t="s">
        <v>12</v>
      </c>
      <c r="E981" t="s">
        <v>2200</v>
      </c>
      <c r="F981" t="s">
        <v>2201</v>
      </c>
      <c r="H981" t="s">
        <v>2202</v>
      </c>
    </row>
    <row r="982" spans="1:8" x14ac:dyDescent="0.55000000000000004">
      <c r="A982" t="str">
        <f t="shared" si="31"/>
        <v>26</v>
      </c>
      <c r="B982" t="str">
        <f>"26.0803"</f>
        <v>26.0803</v>
      </c>
      <c r="C982" t="s">
        <v>8</v>
      </c>
      <c r="D982" t="s">
        <v>12</v>
      </c>
      <c r="E982" t="s">
        <v>2203</v>
      </c>
      <c r="F982" t="s">
        <v>2204</v>
      </c>
    </row>
    <row r="983" spans="1:8" x14ac:dyDescent="0.55000000000000004">
      <c r="A983" t="str">
        <f t="shared" si="31"/>
        <v>26</v>
      </c>
      <c r="B983" t="str">
        <f>"26.0804"</f>
        <v>26.0804</v>
      </c>
      <c r="C983" t="s">
        <v>8</v>
      </c>
      <c r="D983" t="s">
        <v>12</v>
      </c>
      <c r="E983" t="s">
        <v>2205</v>
      </c>
      <c r="F983" t="s">
        <v>2206</v>
      </c>
      <c r="G983" t="s">
        <v>2207</v>
      </c>
    </row>
    <row r="984" spans="1:8" x14ac:dyDescent="0.55000000000000004">
      <c r="A984" t="str">
        <f t="shared" si="31"/>
        <v>26</v>
      </c>
      <c r="B984" t="str">
        <f>"26.0805"</f>
        <v>26.0805</v>
      </c>
      <c r="C984" t="s">
        <v>8</v>
      </c>
      <c r="D984" t="s">
        <v>12</v>
      </c>
      <c r="E984" t="s">
        <v>2208</v>
      </c>
      <c r="F984" t="s">
        <v>2209</v>
      </c>
      <c r="G984" t="s">
        <v>2210</v>
      </c>
    </row>
    <row r="985" spans="1:8" x14ac:dyDescent="0.55000000000000004">
      <c r="A985" t="str">
        <f t="shared" si="31"/>
        <v>26</v>
      </c>
      <c r="B985" t="str">
        <f>"26.0806"</f>
        <v>26.0806</v>
      </c>
      <c r="C985" t="s">
        <v>8</v>
      </c>
      <c r="D985" t="s">
        <v>12</v>
      </c>
      <c r="E985" t="s">
        <v>2211</v>
      </c>
      <c r="F985" t="s">
        <v>2212</v>
      </c>
      <c r="G985" t="s">
        <v>2213</v>
      </c>
    </row>
    <row r="986" spans="1:8" x14ac:dyDescent="0.55000000000000004">
      <c r="A986" t="str">
        <f t="shared" si="31"/>
        <v>26</v>
      </c>
      <c r="B986" t="str">
        <f>"26.0807"</f>
        <v>26.0807</v>
      </c>
      <c r="C986" t="s">
        <v>8</v>
      </c>
      <c r="D986" t="s">
        <v>12</v>
      </c>
      <c r="E986" t="s">
        <v>2214</v>
      </c>
      <c r="F986" t="s">
        <v>2215</v>
      </c>
    </row>
    <row r="987" spans="1:8" x14ac:dyDescent="0.55000000000000004">
      <c r="A987" t="str">
        <f t="shared" si="31"/>
        <v>26</v>
      </c>
      <c r="B987" t="str">
        <f>"26.0899"</f>
        <v>26.0899</v>
      </c>
      <c r="C987" t="s">
        <v>8</v>
      </c>
      <c r="D987" t="s">
        <v>12</v>
      </c>
      <c r="E987" t="s">
        <v>2216</v>
      </c>
      <c r="F987" t="s">
        <v>2217</v>
      </c>
    </row>
    <row r="988" spans="1:8" x14ac:dyDescent="0.55000000000000004">
      <c r="A988" t="str">
        <f t="shared" si="31"/>
        <v>26</v>
      </c>
      <c r="B988" t="str">
        <f>"26.09"</f>
        <v>26.09</v>
      </c>
      <c r="C988" t="s">
        <v>8</v>
      </c>
      <c r="D988" t="s">
        <v>12</v>
      </c>
      <c r="E988" t="s">
        <v>2218</v>
      </c>
      <c r="F988" t="s">
        <v>2219</v>
      </c>
    </row>
    <row r="989" spans="1:8" x14ac:dyDescent="0.55000000000000004">
      <c r="A989" t="str">
        <f t="shared" si="31"/>
        <v>26</v>
      </c>
      <c r="B989" t="str">
        <f>"26.0901"</f>
        <v>26.0901</v>
      </c>
      <c r="C989" t="s">
        <v>8</v>
      </c>
      <c r="D989" t="s">
        <v>12</v>
      </c>
      <c r="E989" t="s">
        <v>2220</v>
      </c>
      <c r="F989" t="s">
        <v>2221</v>
      </c>
    </row>
    <row r="990" spans="1:8" x14ac:dyDescent="0.55000000000000004">
      <c r="A990" t="str">
        <f t="shared" si="31"/>
        <v>26</v>
      </c>
      <c r="B990" t="str">
        <f>"26.0902"</f>
        <v>26.0902</v>
      </c>
      <c r="C990" t="s">
        <v>8</v>
      </c>
      <c r="D990" t="s">
        <v>12</v>
      </c>
      <c r="E990" t="s">
        <v>2222</v>
      </c>
      <c r="F990" t="s">
        <v>2223</v>
      </c>
    </row>
    <row r="991" spans="1:8" x14ac:dyDescent="0.55000000000000004">
      <c r="A991" t="str">
        <f t="shared" si="31"/>
        <v>26</v>
      </c>
      <c r="B991" t="str">
        <f>"26.0903"</f>
        <v>26.0903</v>
      </c>
      <c r="C991" t="s">
        <v>8</v>
      </c>
      <c r="D991" t="s">
        <v>12</v>
      </c>
      <c r="E991" t="s">
        <v>2224</v>
      </c>
      <c r="F991" t="s">
        <v>2225</v>
      </c>
    </row>
    <row r="992" spans="1:8" x14ac:dyDescent="0.55000000000000004">
      <c r="A992" t="str">
        <f t="shared" si="31"/>
        <v>26</v>
      </c>
      <c r="B992" t="str">
        <f>"26.0904"</f>
        <v>26.0904</v>
      </c>
      <c r="C992" t="s">
        <v>8</v>
      </c>
      <c r="D992" t="s">
        <v>12</v>
      </c>
      <c r="E992" t="s">
        <v>2226</v>
      </c>
      <c r="F992" t="s">
        <v>2227</v>
      </c>
    </row>
    <row r="993" spans="1:7" x14ac:dyDescent="0.55000000000000004">
      <c r="A993" t="str">
        <f t="shared" si="31"/>
        <v>26</v>
      </c>
      <c r="B993" t="str">
        <f>"26.0905"</f>
        <v>26.0905</v>
      </c>
      <c r="C993" t="s">
        <v>8</v>
      </c>
      <c r="D993" t="s">
        <v>12</v>
      </c>
      <c r="E993" t="s">
        <v>2228</v>
      </c>
      <c r="F993" t="s">
        <v>2229</v>
      </c>
    </row>
    <row r="994" spans="1:7" x14ac:dyDescent="0.55000000000000004">
      <c r="A994" t="str">
        <f t="shared" si="31"/>
        <v>26</v>
      </c>
      <c r="B994" t="str">
        <f>"26.0907"</f>
        <v>26.0907</v>
      </c>
      <c r="C994" t="s">
        <v>8</v>
      </c>
      <c r="D994" t="s">
        <v>12</v>
      </c>
      <c r="E994" t="s">
        <v>2230</v>
      </c>
      <c r="F994" t="s">
        <v>2231</v>
      </c>
    </row>
    <row r="995" spans="1:7" x14ac:dyDescent="0.55000000000000004">
      <c r="A995" t="str">
        <f t="shared" si="31"/>
        <v>26</v>
      </c>
      <c r="B995" t="str">
        <f>"26.0908"</f>
        <v>26.0908</v>
      </c>
      <c r="C995" t="s">
        <v>8</v>
      </c>
      <c r="D995" t="s">
        <v>9</v>
      </c>
      <c r="E995" t="s">
        <v>2232</v>
      </c>
      <c r="F995" t="s">
        <v>2233</v>
      </c>
      <c r="G995" t="s">
        <v>2234</v>
      </c>
    </row>
    <row r="996" spans="1:7" x14ac:dyDescent="0.55000000000000004">
      <c r="A996" t="str">
        <f t="shared" si="31"/>
        <v>26</v>
      </c>
      <c r="B996" t="str">
        <f>"26.0909"</f>
        <v>26.0909</v>
      </c>
      <c r="C996" t="s">
        <v>8</v>
      </c>
      <c r="D996" t="s">
        <v>12</v>
      </c>
      <c r="E996" t="s">
        <v>2235</v>
      </c>
      <c r="F996" t="s">
        <v>2236</v>
      </c>
    </row>
    <row r="997" spans="1:7" x14ac:dyDescent="0.55000000000000004">
      <c r="A997" t="str">
        <f t="shared" si="31"/>
        <v>26</v>
      </c>
      <c r="B997" t="str">
        <f>"26.0910"</f>
        <v>26.0910</v>
      </c>
      <c r="C997" t="s">
        <v>8</v>
      </c>
      <c r="D997" t="s">
        <v>12</v>
      </c>
      <c r="E997" t="s">
        <v>2237</v>
      </c>
      <c r="F997" t="s">
        <v>2238</v>
      </c>
    </row>
    <row r="998" spans="1:7" x14ac:dyDescent="0.55000000000000004">
      <c r="A998" t="str">
        <f t="shared" si="31"/>
        <v>26</v>
      </c>
      <c r="B998" t="str">
        <f>"26.0911"</f>
        <v>26.0911</v>
      </c>
      <c r="C998" t="s">
        <v>8</v>
      </c>
      <c r="D998" t="s">
        <v>12</v>
      </c>
      <c r="E998" t="s">
        <v>2239</v>
      </c>
      <c r="F998" t="s">
        <v>2240</v>
      </c>
    </row>
    <row r="999" spans="1:7" x14ac:dyDescent="0.55000000000000004">
      <c r="A999" t="str">
        <f t="shared" ref="A999:A1030" si="32">"26"</f>
        <v>26</v>
      </c>
      <c r="B999" t="str">
        <f>"26.0912"</f>
        <v>26.0912</v>
      </c>
      <c r="C999" t="s">
        <v>8</v>
      </c>
      <c r="D999" t="s">
        <v>12</v>
      </c>
      <c r="E999" t="s">
        <v>2241</v>
      </c>
      <c r="F999" t="s">
        <v>2242</v>
      </c>
    </row>
    <row r="1000" spans="1:7" x14ac:dyDescent="0.55000000000000004">
      <c r="A1000" t="str">
        <f t="shared" si="32"/>
        <v>26</v>
      </c>
      <c r="B1000" t="str">
        <f>"26.0913"</f>
        <v>26.0913</v>
      </c>
      <c r="C1000" t="s">
        <v>47</v>
      </c>
      <c r="D1000" t="s">
        <v>12</v>
      </c>
      <c r="E1000" t="s">
        <v>2243</v>
      </c>
      <c r="F1000" t="s">
        <v>2244</v>
      </c>
      <c r="G1000" t="s">
        <v>2245</v>
      </c>
    </row>
    <row r="1001" spans="1:7" x14ac:dyDescent="0.55000000000000004">
      <c r="A1001" t="str">
        <f t="shared" si="32"/>
        <v>26</v>
      </c>
      <c r="B1001" t="str">
        <f>"26.0999"</f>
        <v>26.0999</v>
      </c>
      <c r="C1001" t="s">
        <v>8</v>
      </c>
      <c r="D1001" t="s">
        <v>12</v>
      </c>
      <c r="E1001" t="s">
        <v>2246</v>
      </c>
      <c r="F1001" t="s">
        <v>2247</v>
      </c>
    </row>
    <row r="1002" spans="1:7" x14ac:dyDescent="0.55000000000000004">
      <c r="A1002" t="str">
        <f t="shared" si="32"/>
        <v>26</v>
      </c>
      <c r="B1002" t="str">
        <f>"26.10"</f>
        <v>26.10</v>
      </c>
      <c r="C1002" t="s">
        <v>8</v>
      </c>
      <c r="D1002" t="s">
        <v>12</v>
      </c>
      <c r="E1002" t="s">
        <v>2248</v>
      </c>
      <c r="F1002" t="s">
        <v>2249</v>
      </c>
    </row>
    <row r="1003" spans="1:7" x14ac:dyDescent="0.55000000000000004">
      <c r="A1003" t="str">
        <f t="shared" si="32"/>
        <v>26</v>
      </c>
      <c r="B1003" t="str">
        <f>"26.1001"</f>
        <v>26.1001</v>
      </c>
      <c r="C1003" t="s">
        <v>8</v>
      </c>
      <c r="D1003" t="s">
        <v>12</v>
      </c>
      <c r="E1003" t="s">
        <v>2250</v>
      </c>
      <c r="F1003" t="s">
        <v>2251</v>
      </c>
      <c r="G1003" t="s">
        <v>2252</v>
      </c>
    </row>
    <row r="1004" spans="1:7" x14ac:dyDescent="0.55000000000000004">
      <c r="A1004" t="str">
        <f t="shared" si="32"/>
        <v>26</v>
      </c>
      <c r="B1004" t="str">
        <f>"26.1002"</f>
        <v>26.1002</v>
      </c>
      <c r="C1004" t="s">
        <v>8</v>
      </c>
      <c r="D1004" t="s">
        <v>12</v>
      </c>
      <c r="E1004" t="s">
        <v>2253</v>
      </c>
      <c r="F1004" t="s">
        <v>2254</v>
      </c>
    </row>
    <row r="1005" spans="1:7" x14ac:dyDescent="0.55000000000000004">
      <c r="A1005" t="str">
        <f t="shared" si="32"/>
        <v>26</v>
      </c>
      <c r="B1005" t="str">
        <f>"26.1003"</f>
        <v>26.1003</v>
      </c>
      <c r="C1005" t="s">
        <v>8</v>
      </c>
      <c r="D1005" t="s">
        <v>12</v>
      </c>
      <c r="E1005" t="s">
        <v>2255</v>
      </c>
      <c r="F1005" t="s">
        <v>2256</v>
      </c>
    </row>
    <row r="1006" spans="1:7" x14ac:dyDescent="0.55000000000000004">
      <c r="A1006" t="str">
        <f t="shared" si="32"/>
        <v>26</v>
      </c>
      <c r="B1006" t="str">
        <f>"26.1004"</f>
        <v>26.1004</v>
      </c>
      <c r="C1006" t="s">
        <v>8</v>
      </c>
      <c r="D1006" t="s">
        <v>12</v>
      </c>
      <c r="E1006" t="s">
        <v>2257</v>
      </c>
      <c r="F1006" t="s">
        <v>2258</v>
      </c>
    </row>
    <row r="1007" spans="1:7" x14ac:dyDescent="0.55000000000000004">
      <c r="A1007" t="str">
        <f t="shared" si="32"/>
        <v>26</v>
      </c>
      <c r="B1007" t="str">
        <f>"26.1005"</f>
        <v>26.1005</v>
      </c>
      <c r="C1007" t="s">
        <v>8</v>
      </c>
      <c r="D1007" t="s">
        <v>12</v>
      </c>
      <c r="E1007" t="s">
        <v>2259</v>
      </c>
      <c r="F1007" t="s">
        <v>2260</v>
      </c>
    </row>
    <row r="1008" spans="1:7" x14ac:dyDescent="0.55000000000000004">
      <c r="A1008" t="str">
        <f t="shared" si="32"/>
        <v>26</v>
      </c>
      <c r="B1008" t="str">
        <f>"26.1006"</f>
        <v>26.1006</v>
      </c>
      <c r="C1008" t="s">
        <v>8</v>
      </c>
      <c r="D1008" t="s">
        <v>12</v>
      </c>
      <c r="E1008" t="s">
        <v>2261</v>
      </c>
      <c r="F1008" t="s">
        <v>2262</v>
      </c>
    </row>
    <row r="1009" spans="1:8" x14ac:dyDescent="0.55000000000000004">
      <c r="A1009" t="str">
        <f t="shared" si="32"/>
        <v>26</v>
      </c>
      <c r="B1009" t="str">
        <f>"26.1007"</f>
        <v>26.1007</v>
      </c>
      <c r="C1009" t="s">
        <v>8</v>
      </c>
      <c r="D1009" t="s">
        <v>12</v>
      </c>
      <c r="E1009" t="s">
        <v>2248</v>
      </c>
      <c r="F1009" t="s">
        <v>2263</v>
      </c>
      <c r="G1009" t="s">
        <v>2264</v>
      </c>
    </row>
    <row r="1010" spans="1:8" x14ac:dyDescent="0.55000000000000004">
      <c r="A1010" t="str">
        <f t="shared" si="32"/>
        <v>26</v>
      </c>
      <c r="B1010" t="str">
        <f>"26.1099"</f>
        <v>26.1099</v>
      </c>
      <c r="C1010" t="s">
        <v>8</v>
      </c>
      <c r="D1010" t="s">
        <v>12</v>
      </c>
      <c r="E1010" t="s">
        <v>2265</v>
      </c>
      <c r="F1010" t="s">
        <v>2266</v>
      </c>
    </row>
    <row r="1011" spans="1:8" x14ac:dyDescent="0.55000000000000004">
      <c r="A1011" t="str">
        <f t="shared" si="32"/>
        <v>26</v>
      </c>
      <c r="B1011" t="str">
        <f>"26.11"</f>
        <v>26.11</v>
      </c>
      <c r="C1011" t="s">
        <v>8</v>
      </c>
      <c r="D1011" t="s">
        <v>12</v>
      </c>
      <c r="E1011" t="s">
        <v>2267</v>
      </c>
      <c r="F1011" t="s">
        <v>2268</v>
      </c>
    </row>
    <row r="1012" spans="1:8" x14ac:dyDescent="0.55000000000000004">
      <c r="A1012" t="str">
        <f t="shared" si="32"/>
        <v>26</v>
      </c>
      <c r="B1012" t="str">
        <f>"26.1101"</f>
        <v>26.1101</v>
      </c>
      <c r="C1012" t="s">
        <v>8</v>
      </c>
      <c r="D1012" t="s">
        <v>12</v>
      </c>
      <c r="E1012" t="s">
        <v>2269</v>
      </c>
      <c r="F1012" t="s">
        <v>2270</v>
      </c>
      <c r="G1012" t="s">
        <v>2271</v>
      </c>
    </row>
    <row r="1013" spans="1:8" x14ac:dyDescent="0.55000000000000004">
      <c r="A1013" t="str">
        <f t="shared" si="32"/>
        <v>26</v>
      </c>
      <c r="B1013" t="str">
        <f>"26.1102"</f>
        <v>26.1102</v>
      </c>
      <c r="C1013" t="s">
        <v>8</v>
      </c>
      <c r="D1013" t="s">
        <v>12</v>
      </c>
      <c r="E1013" t="s">
        <v>2272</v>
      </c>
      <c r="F1013" t="s">
        <v>2273</v>
      </c>
      <c r="G1013" t="s">
        <v>2274</v>
      </c>
    </row>
    <row r="1014" spans="1:8" x14ac:dyDescent="0.55000000000000004">
      <c r="A1014" t="str">
        <f t="shared" si="32"/>
        <v>26</v>
      </c>
      <c r="B1014" t="str">
        <f>"26.1103"</f>
        <v>26.1103</v>
      </c>
      <c r="C1014" t="s">
        <v>8</v>
      </c>
      <c r="D1014" t="s">
        <v>12</v>
      </c>
      <c r="E1014" t="s">
        <v>2275</v>
      </c>
      <c r="F1014" t="s">
        <v>2276</v>
      </c>
      <c r="G1014" t="s">
        <v>2277</v>
      </c>
    </row>
    <row r="1015" spans="1:8" x14ac:dyDescent="0.55000000000000004">
      <c r="A1015" t="str">
        <f t="shared" si="32"/>
        <v>26</v>
      </c>
      <c r="B1015" t="str">
        <f>"26.1104"</f>
        <v>26.1104</v>
      </c>
      <c r="C1015" t="s">
        <v>8</v>
      </c>
      <c r="D1015" t="s">
        <v>12</v>
      </c>
      <c r="E1015" t="s">
        <v>2278</v>
      </c>
      <c r="F1015" t="s">
        <v>2279</v>
      </c>
      <c r="H1015" t="s">
        <v>2280</v>
      </c>
    </row>
    <row r="1016" spans="1:8" x14ac:dyDescent="0.55000000000000004">
      <c r="A1016" t="str">
        <f t="shared" si="32"/>
        <v>26</v>
      </c>
      <c r="B1016" t="str">
        <f>"26.1199"</f>
        <v>26.1199</v>
      </c>
      <c r="C1016" t="s">
        <v>8</v>
      </c>
      <c r="D1016" t="s">
        <v>12</v>
      </c>
      <c r="E1016" t="s">
        <v>2281</v>
      </c>
      <c r="F1016" t="s">
        <v>2282</v>
      </c>
      <c r="H1016" t="s">
        <v>2283</v>
      </c>
    </row>
    <row r="1017" spans="1:8" x14ac:dyDescent="0.55000000000000004">
      <c r="A1017" t="str">
        <f t="shared" si="32"/>
        <v>26</v>
      </c>
      <c r="B1017" t="str">
        <f>"26.12"</f>
        <v>26.12</v>
      </c>
      <c r="C1017" t="s">
        <v>8</v>
      </c>
      <c r="D1017" t="s">
        <v>12</v>
      </c>
      <c r="E1017" t="s">
        <v>2284</v>
      </c>
      <c r="F1017" t="s">
        <v>2285</v>
      </c>
    </row>
    <row r="1018" spans="1:8" x14ac:dyDescent="0.55000000000000004">
      <c r="A1018" t="str">
        <f t="shared" si="32"/>
        <v>26</v>
      </c>
      <c r="B1018" t="str">
        <f>"26.1201"</f>
        <v>26.1201</v>
      </c>
      <c r="C1018" t="s">
        <v>8</v>
      </c>
      <c r="D1018" t="s">
        <v>12</v>
      </c>
      <c r="E1018" t="s">
        <v>2284</v>
      </c>
      <c r="F1018" t="s">
        <v>2286</v>
      </c>
    </row>
    <row r="1019" spans="1:8" x14ac:dyDescent="0.55000000000000004">
      <c r="A1019" t="str">
        <f t="shared" si="32"/>
        <v>26</v>
      </c>
      <c r="B1019" t="str">
        <f>"26.13"</f>
        <v>26.13</v>
      </c>
      <c r="C1019" t="s">
        <v>8</v>
      </c>
      <c r="D1019" t="s">
        <v>12</v>
      </c>
      <c r="E1019" t="s">
        <v>2287</v>
      </c>
      <c r="F1019" t="s">
        <v>2288</v>
      </c>
    </row>
    <row r="1020" spans="1:8" x14ac:dyDescent="0.55000000000000004">
      <c r="A1020" t="str">
        <f t="shared" si="32"/>
        <v>26</v>
      </c>
      <c r="B1020" t="str">
        <f>"26.1301"</f>
        <v>26.1301</v>
      </c>
      <c r="C1020" t="s">
        <v>8</v>
      </c>
      <c r="D1020" t="s">
        <v>12</v>
      </c>
      <c r="E1020" t="s">
        <v>2289</v>
      </c>
      <c r="F1020" t="s">
        <v>2290</v>
      </c>
      <c r="H1020" t="s">
        <v>2291</v>
      </c>
    </row>
    <row r="1021" spans="1:8" x14ac:dyDescent="0.55000000000000004">
      <c r="A1021" t="str">
        <f t="shared" si="32"/>
        <v>26</v>
      </c>
      <c r="B1021" t="str">
        <f>"26.1302"</f>
        <v>26.1302</v>
      </c>
      <c r="C1021" t="s">
        <v>8</v>
      </c>
      <c r="D1021" t="s">
        <v>12</v>
      </c>
      <c r="E1021" t="s">
        <v>2292</v>
      </c>
      <c r="F1021" t="s">
        <v>2293</v>
      </c>
      <c r="G1021" t="s">
        <v>2294</v>
      </c>
    </row>
    <row r="1022" spans="1:8" x14ac:dyDescent="0.55000000000000004">
      <c r="A1022" t="str">
        <f t="shared" si="32"/>
        <v>26</v>
      </c>
      <c r="B1022" t="str">
        <f>"26.1303"</f>
        <v>26.1303</v>
      </c>
      <c r="C1022" t="s">
        <v>8</v>
      </c>
      <c r="D1022" t="s">
        <v>12</v>
      </c>
      <c r="E1022" t="s">
        <v>2295</v>
      </c>
      <c r="F1022" t="s">
        <v>2296</v>
      </c>
    </row>
    <row r="1023" spans="1:8" x14ac:dyDescent="0.55000000000000004">
      <c r="A1023" t="str">
        <f t="shared" si="32"/>
        <v>26</v>
      </c>
      <c r="B1023" t="str">
        <f>"26.1304"</f>
        <v>26.1304</v>
      </c>
      <c r="C1023" t="s">
        <v>8</v>
      </c>
      <c r="D1023" t="s">
        <v>12</v>
      </c>
      <c r="E1023" t="s">
        <v>2297</v>
      </c>
      <c r="F1023" t="s">
        <v>2298</v>
      </c>
      <c r="G1023" t="s">
        <v>2299</v>
      </c>
      <c r="H1023" t="s">
        <v>2300</v>
      </c>
    </row>
    <row r="1024" spans="1:8" x14ac:dyDescent="0.55000000000000004">
      <c r="A1024" t="str">
        <f t="shared" si="32"/>
        <v>26</v>
      </c>
      <c r="B1024" t="str">
        <f>"26.1305"</f>
        <v>26.1305</v>
      </c>
      <c r="C1024" t="s">
        <v>8</v>
      </c>
      <c r="D1024" t="s">
        <v>12</v>
      </c>
      <c r="E1024" t="s">
        <v>2301</v>
      </c>
      <c r="F1024" t="s">
        <v>2302</v>
      </c>
      <c r="G1024" t="s">
        <v>2303</v>
      </c>
      <c r="H1024" t="s">
        <v>2304</v>
      </c>
    </row>
    <row r="1025" spans="1:8" x14ac:dyDescent="0.55000000000000004">
      <c r="A1025" t="str">
        <f t="shared" si="32"/>
        <v>26</v>
      </c>
      <c r="B1025" t="str">
        <f>"26.1306"</f>
        <v>26.1306</v>
      </c>
      <c r="C1025" t="s">
        <v>8</v>
      </c>
      <c r="D1025" t="s">
        <v>12</v>
      </c>
      <c r="E1025" t="s">
        <v>2305</v>
      </c>
      <c r="F1025" t="s">
        <v>2306</v>
      </c>
    </row>
    <row r="1026" spans="1:8" x14ac:dyDescent="0.55000000000000004">
      <c r="A1026" t="str">
        <f t="shared" si="32"/>
        <v>26</v>
      </c>
      <c r="B1026" t="str">
        <f>"26.1307"</f>
        <v>26.1307</v>
      </c>
      <c r="C1026" t="s">
        <v>8</v>
      </c>
      <c r="D1026" t="s">
        <v>12</v>
      </c>
      <c r="E1026" t="s">
        <v>2307</v>
      </c>
      <c r="F1026" t="s">
        <v>2308</v>
      </c>
      <c r="G1026" t="s">
        <v>2309</v>
      </c>
    </row>
    <row r="1027" spans="1:8" x14ac:dyDescent="0.55000000000000004">
      <c r="A1027" t="str">
        <f t="shared" si="32"/>
        <v>26</v>
      </c>
      <c r="B1027" t="str">
        <f>"26.1308"</f>
        <v>26.1308</v>
      </c>
      <c r="C1027" t="s">
        <v>8</v>
      </c>
      <c r="D1027" t="s">
        <v>12</v>
      </c>
      <c r="E1027" t="s">
        <v>2310</v>
      </c>
      <c r="F1027" t="s">
        <v>2311</v>
      </c>
    </row>
    <row r="1028" spans="1:8" x14ac:dyDescent="0.55000000000000004">
      <c r="A1028" t="str">
        <f t="shared" si="32"/>
        <v>26</v>
      </c>
      <c r="B1028" t="str">
        <f>"26.1309"</f>
        <v>26.1309</v>
      </c>
      <c r="C1028" t="s">
        <v>8</v>
      </c>
      <c r="D1028" t="s">
        <v>12</v>
      </c>
      <c r="E1028" t="s">
        <v>2312</v>
      </c>
      <c r="F1028" t="s">
        <v>2313</v>
      </c>
      <c r="G1028" t="s">
        <v>2314</v>
      </c>
    </row>
    <row r="1029" spans="1:8" x14ac:dyDescent="0.55000000000000004">
      <c r="A1029" t="str">
        <f t="shared" si="32"/>
        <v>26</v>
      </c>
      <c r="B1029" t="str">
        <f>"26.1310"</f>
        <v>26.1310</v>
      </c>
      <c r="C1029" t="s">
        <v>8</v>
      </c>
      <c r="D1029" t="s">
        <v>12</v>
      </c>
      <c r="E1029" t="s">
        <v>2315</v>
      </c>
      <c r="F1029" t="s">
        <v>2316</v>
      </c>
      <c r="G1029" t="s">
        <v>2317</v>
      </c>
    </row>
    <row r="1030" spans="1:8" x14ac:dyDescent="0.55000000000000004">
      <c r="A1030" t="str">
        <f t="shared" si="32"/>
        <v>26</v>
      </c>
      <c r="B1030" t="str">
        <f>"26.1311"</f>
        <v>26.1311</v>
      </c>
      <c r="C1030" t="s">
        <v>47</v>
      </c>
      <c r="D1030" t="s">
        <v>12</v>
      </c>
      <c r="E1030" t="s">
        <v>2318</v>
      </c>
      <c r="F1030" t="s">
        <v>2319</v>
      </c>
    </row>
    <row r="1031" spans="1:8" x14ac:dyDescent="0.55000000000000004">
      <c r="A1031" t="str">
        <f t="shared" ref="A1031:A1041" si="33">"26"</f>
        <v>26</v>
      </c>
      <c r="B1031" t="str">
        <f>"26.1399"</f>
        <v>26.1399</v>
      </c>
      <c r="C1031" t="s">
        <v>8</v>
      </c>
      <c r="D1031" t="s">
        <v>12</v>
      </c>
      <c r="E1031" t="s">
        <v>2320</v>
      </c>
      <c r="F1031" t="s">
        <v>2321</v>
      </c>
    </row>
    <row r="1032" spans="1:8" x14ac:dyDescent="0.55000000000000004">
      <c r="A1032" t="str">
        <f t="shared" si="33"/>
        <v>26</v>
      </c>
      <c r="B1032" t="str">
        <f>"26.14"</f>
        <v>26.14</v>
      </c>
      <c r="C1032" t="s">
        <v>8</v>
      </c>
      <c r="D1032" t="s">
        <v>12</v>
      </c>
      <c r="E1032" t="s">
        <v>2322</v>
      </c>
      <c r="F1032" t="s">
        <v>2323</v>
      </c>
    </row>
    <row r="1033" spans="1:8" x14ac:dyDescent="0.55000000000000004">
      <c r="A1033" t="str">
        <f t="shared" si="33"/>
        <v>26</v>
      </c>
      <c r="B1033" t="str">
        <f>"26.1401"</f>
        <v>26.1401</v>
      </c>
      <c r="C1033" t="s">
        <v>8</v>
      </c>
      <c r="D1033" t="s">
        <v>12</v>
      </c>
      <c r="E1033" t="s">
        <v>2322</v>
      </c>
      <c r="F1033" t="s">
        <v>2324</v>
      </c>
    </row>
    <row r="1034" spans="1:8" x14ac:dyDescent="0.55000000000000004">
      <c r="A1034" t="str">
        <f t="shared" si="33"/>
        <v>26</v>
      </c>
      <c r="B1034" t="str">
        <f>"26.15"</f>
        <v>26.15</v>
      </c>
      <c r="C1034" t="s">
        <v>8</v>
      </c>
      <c r="D1034" t="s">
        <v>12</v>
      </c>
      <c r="E1034" t="s">
        <v>2325</v>
      </c>
      <c r="F1034" t="s">
        <v>2326</v>
      </c>
    </row>
    <row r="1035" spans="1:8" x14ac:dyDescent="0.55000000000000004">
      <c r="A1035" t="str">
        <f t="shared" si="33"/>
        <v>26</v>
      </c>
      <c r="B1035" t="str">
        <f>"26.1501"</f>
        <v>26.1501</v>
      </c>
      <c r="C1035" t="s">
        <v>8</v>
      </c>
      <c r="D1035" t="s">
        <v>12</v>
      </c>
      <c r="E1035" t="s">
        <v>2327</v>
      </c>
      <c r="F1035" t="s">
        <v>2328</v>
      </c>
      <c r="H1035" t="s">
        <v>2329</v>
      </c>
    </row>
    <row r="1036" spans="1:8" x14ac:dyDescent="0.55000000000000004">
      <c r="A1036" t="str">
        <f t="shared" si="33"/>
        <v>26</v>
      </c>
      <c r="B1036" t="str">
        <f>"26.1502"</f>
        <v>26.1502</v>
      </c>
      <c r="C1036" t="s">
        <v>8</v>
      </c>
      <c r="D1036" t="s">
        <v>12</v>
      </c>
      <c r="E1036" t="s">
        <v>2330</v>
      </c>
      <c r="F1036" t="s">
        <v>2331</v>
      </c>
    </row>
    <row r="1037" spans="1:8" x14ac:dyDescent="0.55000000000000004">
      <c r="A1037" t="str">
        <f t="shared" si="33"/>
        <v>26</v>
      </c>
      <c r="B1037" t="str">
        <f>"26.1503"</f>
        <v>26.1503</v>
      </c>
      <c r="C1037" t="s">
        <v>8</v>
      </c>
      <c r="D1037" t="s">
        <v>12</v>
      </c>
      <c r="E1037" t="s">
        <v>2332</v>
      </c>
      <c r="F1037" t="s">
        <v>2333</v>
      </c>
      <c r="H1037" t="s">
        <v>2334</v>
      </c>
    </row>
    <row r="1038" spans="1:8" x14ac:dyDescent="0.55000000000000004">
      <c r="A1038" t="str">
        <f t="shared" si="33"/>
        <v>26</v>
      </c>
      <c r="B1038" t="str">
        <f>"26.1504"</f>
        <v>26.1504</v>
      </c>
      <c r="C1038" t="s">
        <v>8</v>
      </c>
      <c r="D1038" t="s">
        <v>12</v>
      </c>
      <c r="E1038" t="s">
        <v>2335</v>
      </c>
      <c r="F1038" t="s">
        <v>2336</v>
      </c>
      <c r="G1038" t="s">
        <v>2337</v>
      </c>
    </row>
    <row r="1039" spans="1:8" x14ac:dyDescent="0.55000000000000004">
      <c r="A1039" t="str">
        <f t="shared" si="33"/>
        <v>26</v>
      </c>
      <c r="B1039" t="str">
        <f>"26.1599"</f>
        <v>26.1599</v>
      </c>
      <c r="C1039" t="s">
        <v>8</v>
      </c>
      <c r="D1039" t="s">
        <v>12</v>
      </c>
      <c r="E1039" t="s">
        <v>2338</v>
      </c>
      <c r="F1039" t="s">
        <v>2339</v>
      </c>
      <c r="H1039" t="s">
        <v>2340</v>
      </c>
    </row>
    <row r="1040" spans="1:8" x14ac:dyDescent="0.55000000000000004">
      <c r="A1040" t="str">
        <f t="shared" si="33"/>
        <v>26</v>
      </c>
      <c r="B1040" t="str">
        <f>"26.99"</f>
        <v>26.99</v>
      </c>
      <c r="C1040" t="s">
        <v>8</v>
      </c>
      <c r="D1040" t="s">
        <v>12</v>
      </c>
      <c r="E1040" t="s">
        <v>2341</v>
      </c>
      <c r="F1040" t="s">
        <v>2342</v>
      </c>
    </row>
    <row r="1041" spans="1:8" x14ac:dyDescent="0.55000000000000004">
      <c r="A1041" t="str">
        <f t="shared" si="33"/>
        <v>26</v>
      </c>
      <c r="B1041" t="str">
        <f>"26.9999"</f>
        <v>26.9999</v>
      </c>
      <c r="C1041" t="s">
        <v>8</v>
      </c>
      <c r="D1041" t="s">
        <v>12</v>
      </c>
      <c r="E1041" t="s">
        <v>2341</v>
      </c>
      <c r="F1041" t="s">
        <v>2343</v>
      </c>
    </row>
    <row r="1042" spans="1:8" x14ac:dyDescent="0.55000000000000004">
      <c r="A1042" t="str">
        <f>"27"</f>
        <v>27</v>
      </c>
      <c r="B1042" t="str">
        <f>"27"</f>
        <v>27</v>
      </c>
      <c r="C1042" t="s">
        <v>8</v>
      </c>
      <c r="D1042" t="s">
        <v>12</v>
      </c>
      <c r="E1042" t="s">
        <v>2344</v>
      </c>
      <c r="F1042" t="s">
        <v>2345</v>
      </c>
    </row>
    <row r="1043" spans="1:8" x14ac:dyDescent="0.55000000000000004">
      <c r="A1043" t="str">
        <f t="shared" ref="A1043:A1065" si="34">"27"</f>
        <v>27</v>
      </c>
      <c r="B1043" t="str">
        <f>"27.01"</f>
        <v>27.01</v>
      </c>
      <c r="C1043" t="s">
        <v>8</v>
      </c>
      <c r="D1043" t="s">
        <v>12</v>
      </c>
      <c r="E1043" t="s">
        <v>2346</v>
      </c>
      <c r="F1043" t="s">
        <v>2347</v>
      </c>
    </row>
    <row r="1044" spans="1:8" x14ac:dyDescent="0.55000000000000004">
      <c r="A1044" t="str">
        <f t="shared" si="34"/>
        <v>27</v>
      </c>
      <c r="B1044" t="str">
        <f>"27.0101"</f>
        <v>27.0101</v>
      </c>
      <c r="C1044" t="s">
        <v>8</v>
      </c>
      <c r="D1044" t="s">
        <v>12</v>
      </c>
      <c r="E1044" t="s">
        <v>2348</v>
      </c>
      <c r="F1044" t="s">
        <v>2349</v>
      </c>
    </row>
    <row r="1045" spans="1:8" x14ac:dyDescent="0.55000000000000004">
      <c r="A1045" t="str">
        <f t="shared" si="34"/>
        <v>27</v>
      </c>
      <c r="B1045" t="str">
        <f>"27.0102"</f>
        <v>27.0102</v>
      </c>
      <c r="C1045" t="s">
        <v>8</v>
      </c>
      <c r="D1045" t="s">
        <v>12</v>
      </c>
      <c r="E1045" t="s">
        <v>2350</v>
      </c>
      <c r="F1045" t="s">
        <v>2351</v>
      </c>
    </row>
    <row r="1046" spans="1:8" x14ac:dyDescent="0.55000000000000004">
      <c r="A1046" t="str">
        <f t="shared" si="34"/>
        <v>27</v>
      </c>
      <c r="B1046" t="str">
        <f>"27.0103"</f>
        <v>27.0103</v>
      </c>
      <c r="C1046" t="s">
        <v>8</v>
      </c>
      <c r="D1046" t="s">
        <v>12</v>
      </c>
      <c r="E1046" t="s">
        <v>2352</v>
      </c>
      <c r="F1046" t="s">
        <v>2353</v>
      </c>
    </row>
    <row r="1047" spans="1:8" x14ac:dyDescent="0.55000000000000004">
      <c r="A1047" t="str">
        <f t="shared" si="34"/>
        <v>27</v>
      </c>
      <c r="B1047" t="str">
        <f>"27.0104"</f>
        <v>27.0104</v>
      </c>
      <c r="C1047" t="s">
        <v>8</v>
      </c>
      <c r="D1047" t="s">
        <v>12</v>
      </c>
      <c r="E1047" t="s">
        <v>2354</v>
      </c>
      <c r="F1047" t="s">
        <v>2355</v>
      </c>
    </row>
    <row r="1048" spans="1:8" x14ac:dyDescent="0.55000000000000004">
      <c r="A1048" t="str">
        <f t="shared" si="34"/>
        <v>27</v>
      </c>
      <c r="B1048" t="str">
        <f>"27.0105"</f>
        <v>27.0105</v>
      </c>
      <c r="C1048" t="s">
        <v>8</v>
      </c>
      <c r="D1048" t="s">
        <v>12</v>
      </c>
      <c r="E1048" t="s">
        <v>2356</v>
      </c>
      <c r="F1048" t="s">
        <v>2357</v>
      </c>
    </row>
    <row r="1049" spans="1:8" x14ac:dyDescent="0.55000000000000004">
      <c r="A1049" t="str">
        <f t="shared" si="34"/>
        <v>27</v>
      </c>
      <c r="B1049" t="str">
        <f>"27.0199"</f>
        <v>27.0199</v>
      </c>
      <c r="C1049" t="s">
        <v>8</v>
      </c>
      <c r="D1049" t="s">
        <v>12</v>
      </c>
      <c r="E1049" t="s">
        <v>2358</v>
      </c>
      <c r="F1049" t="s">
        <v>2359</v>
      </c>
    </row>
    <row r="1050" spans="1:8" x14ac:dyDescent="0.55000000000000004">
      <c r="A1050" t="str">
        <f t="shared" si="34"/>
        <v>27</v>
      </c>
      <c r="B1050" t="str">
        <f>"27.03"</f>
        <v>27.03</v>
      </c>
      <c r="C1050" t="s">
        <v>8</v>
      </c>
      <c r="D1050" t="s">
        <v>12</v>
      </c>
      <c r="E1050" t="s">
        <v>2360</v>
      </c>
      <c r="F1050" t="s">
        <v>2361</v>
      </c>
    </row>
    <row r="1051" spans="1:8" x14ac:dyDescent="0.55000000000000004">
      <c r="A1051" t="str">
        <f t="shared" si="34"/>
        <v>27</v>
      </c>
      <c r="B1051" t="str">
        <f>"27.0301"</f>
        <v>27.0301</v>
      </c>
      <c r="C1051" t="s">
        <v>8</v>
      </c>
      <c r="D1051" t="s">
        <v>9</v>
      </c>
      <c r="E1051" t="s">
        <v>2362</v>
      </c>
      <c r="F1051" t="s">
        <v>2363</v>
      </c>
      <c r="H1051" t="s">
        <v>2364</v>
      </c>
    </row>
    <row r="1052" spans="1:8" x14ac:dyDescent="0.55000000000000004">
      <c r="A1052" t="str">
        <f t="shared" si="34"/>
        <v>27</v>
      </c>
      <c r="B1052" t="str">
        <f>"27.0303"</f>
        <v>27.0303</v>
      </c>
      <c r="C1052" t="s">
        <v>8</v>
      </c>
      <c r="D1052" t="s">
        <v>12</v>
      </c>
      <c r="E1052" t="s">
        <v>2365</v>
      </c>
      <c r="F1052" t="s">
        <v>2366</v>
      </c>
    </row>
    <row r="1053" spans="1:8" x14ac:dyDescent="0.55000000000000004">
      <c r="A1053" t="str">
        <f t="shared" si="34"/>
        <v>27</v>
      </c>
      <c r="B1053" t="str">
        <f>"27.0304"</f>
        <v>27.0304</v>
      </c>
      <c r="C1053" t="s">
        <v>8</v>
      </c>
      <c r="D1053" t="s">
        <v>12</v>
      </c>
      <c r="E1053" t="s">
        <v>2367</v>
      </c>
      <c r="F1053" t="s">
        <v>2368</v>
      </c>
      <c r="G1053" t="s">
        <v>2369</v>
      </c>
    </row>
    <row r="1054" spans="1:8" x14ac:dyDescent="0.55000000000000004">
      <c r="A1054" t="str">
        <f t="shared" si="34"/>
        <v>27</v>
      </c>
      <c r="B1054" t="str">
        <f>"27.0305"</f>
        <v>27.0305</v>
      </c>
      <c r="C1054" t="s">
        <v>8</v>
      </c>
      <c r="D1054" t="s">
        <v>12</v>
      </c>
      <c r="E1054" t="s">
        <v>2370</v>
      </c>
      <c r="F1054" t="s">
        <v>2371</v>
      </c>
      <c r="H1054" t="s">
        <v>2372</v>
      </c>
    </row>
    <row r="1055" spans="1:8" x14ac:dyDescent="0.55000000000000004">
      <c r="A1055" t="str">
        <f t="shared" si="34"/>
        <v>27</v>
      </c>
      <c r="B1055" t="str">
        <f>"27.0306"</f>
        <v>27.0306</v>
      </c>
      <c r="C1055" t="s">
        <v>8</v>
      </c>
      <c r="D1055" t="s">
        <v>12</v>
      </c>
      <c r="E1055" t="s">
        <v>2373</v>
      </c>
      <c r="F1055" t="s">
        <v>2374</v>
      </c>
      <c r="G1055" t="s">
        <v>2375</v>
      </c>
    </row>
    <row r="1056" spans="1:8" x14ac:dyDescent="0.55000000000000004">
      <c r="A1056" t="str">
        <f t="shared" si="34"/>
        <v>27</v>
      </c>
      <c r="B1056" t="str">
        <f>"27.0399"</f>
        <v>27.0399</v>
      </c>
      <c r="C1056" t="s">
        <v>8</v>
      </c>
      <c r="D1056" t="s">
        <v>12</v>
      </c>
      <c r="E1056" t="s">
        <v>2376</v>
      </c>
      <c r="F1056" t="s">
        <v>2377</v>
      </c>
      <c r="H1056" t="s">
        <v>2378</v>
      </c>
    </row>
    <row r="1057" spans="1:7" x14ac:dyDescent="0.55000000000000004">
      <c r="A1057" t="str">
        <f t="shared" si="34"/>
        <v>27</v>
      </c>
      <c r="B1057" t="str">
        <f>"27.05"</f>
        <v>27.05</v>
      </c>
      <c r="C1057" t="s">
        <v>8</v>
      </c>
      <c r="D1057" t="s">
        <v>12</v>
      </c>
      <c r="E1057" t="s">
        <v>2379</v>
      </c>
      <c r="F1057" t="s">
        <v>2380</v>
      </c>
    </row>
    <row r="1058" spans="1:7" x14ac:dyDescent="0.55000000000000004">
      <c r="A1058" t="str">
        <f t="shared" si="34"/>
        <v>27</v>
      </c>
      <c r="B1058" t="str">
        <f>"27.0501"</f>
        <v>27.0501</v>
      </c>
      <c r="C1058" t="s">
        <v>8</v>
      </c>
      <c r="D1058" t="s">
        <v>12</v>
      </c>
      <c r="E1058" t="s">
        <v>2381</v>
      </c>
      <c r="F1058" t="s">
        <v>2382</v>
      </c>
      <c r="G1058" t="s">
        <v>2383</v>
      </c>
    </row>
    <row r="1059" spans="1:7" x14ac:dyDescent="0.55000000000000004">
      <c r="A1059" t="str">
        <f t="shared" si="34"/>
        <v>27</v>
      </c>
      <c r="B1059" t="str">
        <f>"27.0502"</f>
        <v>27.0502</v>
      </c>
      <c r="C1059" t="s">
        <v>8</v>
      </c>
      <c r="D1059" t="s">
        <v>12</v>
      </c>
      <c r="E1059" t="s">
        <v>2384</v>
      </c>
      <c r="F1059" t="s">
        <v>2385</v>
      </c>
    </row>
    <row r="1060" spans="1:7" x14ac:dyDescent="0.55000000000000004">
      <c r="A1060" t="str">
        <f t="shared" si="34"/>
        <v>27</v>
      </c>
      <c r="B1060" t="str">
        <f>"27.0503"</f>
        <v>27.0503</v>
      </c>
      <c r="C1060" t="s">
        <v>8</v>
      </c>
      <c r="D1060" t="s">
        <v>12</v>
      </c>
      <c r="E1060" t="s">
        <v>2386</v>
      </c>
      <c r="F1060" t="s">
        <v>2387</v>
      </c>
      <c r="G1060" t="s">
        <v>2388</v>
      </c>
    </row>
    <row r="1061" spans="1:7" x14ac:dyDescent="0.55000000000000004">
      <c r="A1061" t="str">
        <f t="shared" si="34"/>
        <v>27</v>
      </c>
      <c r="B1061" t="str">
        <f>"27.0599"</f>
        <v>27.0599</v>
      </c>
      <c r="C1061" t="s">
        <v>8</v>
      </c>
      <c r="D1061" t="s">
        <v>12</v>
      </c>
      <c r="E1061" t="s">
        <v>2389</v>
      </c>
      <c r="F1061" t="s">
        <v>2390</v>
      </c>
    </row>
    <row r="1062" spans="1:7" x14ac:dyDescent="0.55000000000000004">
      <c r="A1062" t="str">
        <f t="shared" si="34"/>
        <v>27</v>
      </c>
      <c r="B1062" t="str">
        <f>"27.06"</f>
        <v>27.06</v>
      </c>
      <c r="C1062" t="s">
        <v>47</v>
      </c>
      <c r="D1062" t="s">
        <v>12</v>
      </c>
      <c r="E1062" t="s">
        <v>2391</v>
      </c>
      <c r="F1062" t="s">
        <v>2392</v>
      </c>
    </row>
    <row r="1063" spans="1:7" x14ac:dyDescent="0.55000000000000004">
      <c r="A1063" t="str">
        <f t="shared" si="34"/>
        <v>27</v>
      </c>
      <c r="B1063" t="str">
        <f>"27.0601"</f>
        <v>27.0601</v>
      </c>
      <c r="C1063" t="s">
        <v>47</v>
      </c>
      <c r="D1063" t="s">
        <v>12</v>
      </c>
      <c r="E1063" t="s">
        <v>2393</v>
      </c>
      <c r="F1063" t="s">
        <v>2394</v>
      </c>
    </row>
    <row r="1064" spans="1:7" x14ac:dyDescent="0.55000000000000004">
      <c r="A1064" t="str">
        <f t="shared" si="34"/>
        <v>27</v>
      </c>
      <c r="B1064" t="str">
        <f>"27.99"</f>
        <v>27.99</v>
      </c>
      <c r="C1064" t="s">
        <v>8</v>
      </c>
      <c r="D1064" t="s">
        <v>12</v>
      </c>
      <c r="E1064" t="s">
        <v>2395</v>
      </c>
      <c r="F1064" t="s">
        <v>2396</v>
      </c>
    </row>
    <row r="1065" spans="1:7" x14ac:dyDescent="0.55000000000000004">
      <c r="A1065" t="str">
        <f t="shared" si="34"/>
        <v>27</v>
      </c>
      <c r="B1065" t="str">
        <f>"27.9999"</f>
        <v>27.9999</v>
      </c>
      <c r="C1065" t="s">
        <v>8</v>
      </c>
      <c r="D1065" t="s">
        <v>12</v>
      </c>
      <c r="E1065" t="s">
        <v>2395</v>
      </c>
      <c r="F1065" t="s">
        <v>2397</v>
      </c>
    </row>
    <row r="1066" spans="1:7" x14ac:dyDescent="0.55000000000000004">
      <c r="A1066" t="str">
        <f>"28"</f>
        <v>28</v>
      </c>
      <c r="B1066" t="str">
        <f>"28"</f>
        <v>28</v>
      </c>
      <c r="C1066" t="s">
        <v>8</v>
      </c>
      <c r="D1066" t="s">
        <v>12</v>
      </c>
      <c r="E1066" t="s">
        <v>2398</v>
      </c>
      <c r="F1066" t="s">
        <v>2399</v>
      </c>
    </row>
    <row r="1067" spans="1:7" x14ac:dyDescent="0.55000000000000004">
      <c r="A1067" t="str">
        <f t="shared" ref="A1067:A1099" si="35">"28"</f>
        <v>28</v>
      </c>
      <c r="B1067" t="str">
        <f>"28.01"</f>
        <v>28.01</v>
      </c>
      <c r="C1067" t="s">
        <v>8</v>
      </c>
      <c r="D1067" t="s">
        <v>12</v>
      </c>
      <c r="E1067" t="s">
        <v>2400</v>
      </c>
      <c r="F1067" t="s">
        <v>2401</v>
      </c>
    </row>
    <row r="1068" spans="1:7" x14ac:dyDescent="0.55000000000000004">
      <c r="A1068" t="str">
        <f t="shared" si="35"/>
        <v>28</v>
      </c>
      <c r="B1068" t="str">
        <f>"28.0101"</f>
        <v>28.0101</v>
      </c>
      <c r="C1068" t="s">
        <v>8</v>
      </c>
      <c r="D1068" t="s">
        <v>12</v>
      </c>
      <c r="E1068" t="s">
        <v>2402</v>
      </c>
      <c r="F1068" t="s">
        <v>2403</v>
      </c>
    </row>
    <row r="1069" spans="1:7" x14ac:dyDescent="0.55000000000000004">
      <c r="A1069" t="str">
        <f t="shared" si="35"/>
        <v>28</v>
      </c>
      <c r="B1069" t="str">
        <f>"28.0199"</f>
        <v>28.0199</v>
      </c>
      <c r="C1069" t="s">
        <v>8</v>
      </c>
      <c r="D1069" t="s">
        <v>12</v>
      </c>
      <c r="E1069" t="s">
        <v>2404</v>
      </c>
      <c r="F1069" t="s">
        <v>2405</v>
      </c>
    </row>
    <row r="1070" spans="1:7" x14ac:dyDescent="0.55000000000000004">
      <c r="A1070" t="str">
        <f t="shared" si="35"/>
        <v>28</v>
      </c>
      <c r="B1070" t="str">
        <f>"28.03"</f>
        <v>28.03</v>
      </c>
      <c r="C1070" t="s">
        <v>8</v>
      </c>
      <c r="D1070" t="s">
        <v>12</v>
      </c>
      <c r="E1070" t="s">
        <v>2406</v>
      </c>
      <c r="F1070" t="s">
        <v>2407</v>
      </c>
    </row>
    <row r="1071" spans="1:7" x14ac:dyDescent="0.55000000000000004">
      <c r="A1071" t="str">
        <f t="shared" si="35"/>
        <v>28</v>
      </c>
      <c r="B1071" t="str">
        <f>"28.0301"</f>
        <v>28.0301</v>
      </c>
      <c r="C1071" t="s">
        <v>8</v>
      </c>
      <c r="D1071" t="s">
        <v>12</v>
      </c>
      <c r="E1071" t="s">
        <v>2408</v>
      </c>
      <c r="F1071" t="s">
        <v>2409</v>
      </c>
    </row>
    <row r="1072" spans="1:7" x14ac:dyDescent="0.55000000000000004">
      <c r="A1072" t="str">
        <f t="shared" si="35"/>
        <v>28</v>
      </c>
      <c r="B1072" t="str">
        <f>"28.0399"</f>
        <v>28.0399</v>
      </c>
      <c r="C1072" t="s">
        <v>8</v>
      </c>
      <c r="D1072" t="s">
        <v>12</v>
      </c>
      <c r="E1072" t="s">
        <v>2410</v>
      </c>
      <c r="F1072" t="s">
        <v>2411</v>
      </c>
    </row>
    <row r="1073" spans="1:8" x14ac:dyDescent="0.55000000000000004">
      <c r="A1073" t="str">
        <f t="shared" si="35"/>
        <v>28</v>
      </c>
      <c r="B1073" t="str">
        <f>"28.04"</f>
        <v>28.04</v>
      </c>
      <c r="C1073" t="s">
        <v>8</v>
      </c>
      <c r="D1073" t="s">
        <v>12</v>
      </c>
      <c r="E1073" t="s">
        <v>2412</v>
      </c>
      <c r="F1073" t="s">
        <v>2413</v>
      </c>
    </row>
    <row r="1074" spans="1:8" x14ac:dyDescent="0.55000000000000004">
      <c r="A1074" t="str">
        <f t="shared" si="35"/>
        <v>28</v>
      </c>
      <c r="B1074" t="str">
        <f>"28.0401"</f>
        <v>28.0401</v>
      </c>
      <c r="C1074" t="s">
        <v>8</v>
      </c>
      <c r="D1074" t="s">
        <v>12</v>
      </c>
      <c r="E1074" t="s">
        <v>2414</v>
      </c>
      <c r="F1074" t="s">
        <v>2415</v>
      </c>
    </row>
    <row r="1075" spans="1:8" x14ac:dyDescent="0.55000000000000004">
      <c r="A1075" t="str">
        <f t="shared" si="35"/>
        <v>28</v>
      </c>
      <c r="B1075" t="str">
        <f>"28.0499"</f>
        <v>28.0499</v>
      </c>
      <c r="C1075" t="s">
        <v>8</v>
      </c>
      <c r="D1075" t="s">
        <v>12</v>
      </c>
      <c r="E1075" t="s">
        <v>2416</v>
      </c>
      <c r="F1075" t="s">
        <v>2417</v>
      </c>
    </row>
    <row r="1076" spans="1:8" x14ac:dyDescent="0.55000000000000004">
      <c r="A1076" t="str">
        <f t="shared" si="35"/>
        <v>28</v>
      </c>
      <c r="B1076" t="str">
        <f>"28.05"</f>
        <v>28.05</v>
      </c>
      <c r="C1076" t="s">
        <v>8</v>
      </c>
      <c r="D1076" t="s">
        <v>12</v>
      </c>
      <c r="E1076" t="s">
        <v>2418</v>
      </c>
      <c r="F1076" t="s">
        <v>2419</v>
      </c>
    </row>
    <row r="1077" spans="1:8" x14ac:dyDescent="0.55000000000000004">
      <c r="A1077" t="str">
        <f t="shared" si="35"/>
        <v>28</v>
      </c>
      <c r="B1077" t="str">
        <f>"28.0501"</f>
        <v>28.0501</v>
      </c>
      <c r="C1077" t="s">
        <v>8</v>
      </c>
      <c r="D1077" t="s">
        <v>12</v>
      </c>
      <c r="E1077" t="s">
        <v>2420</v>
      </c>
      <c r="F1077" t="s">
        <v>2421</v>
      </c>
      <c r="H1077" t="s">
        <v>2422</v>
      </c>
    </row>
    <row r="1078" spans="1:8" x14ac:dyDescent="0.55000000000000004">
      <c r="A1078" t="str">
        <f t="shared" si="35"/>
        <v>28</v>
      </c>
      <c r="B1078" t="str">
        <f>"28.0502"</f>
        <v>28.0502</v>
      </c>
      <c r="C1078" t="s">
        <v>8</v>
      </c>
      <c r="D1078" t="s">
        <v>12</v>
      </c>
      <c r="E1078" t="s">
        <v>2423</v>
      </c>
      <c r="F1078" t="s">
        <v>2424</v>
      </c>
    </row>
    <row r="1079" spans="1:8" x14ac:dyDescent="0.55000000000000004">
      <c r="A1079" t="str">
        <f t="shared" si="35"/>
        <v>28</v>
      </c>
      <c r="B1079" t="str">
        <f>"28.0503"</f>
        <v>28.0503</v>
      </c>
      <c r="C1079" t="s">
        <v>8</v>
      </c>
      <c r="D1079" t="s">
        <v>12</v>
      </c>
      <c r="E1079" t="s">
        <v>2425</v>
      </c>
      <c r="F1079" t="s">
        <v>2426</v>
      </c>
    </row>
    <row r="1080" spans="1:8" x14ac:dyDescent="0.55000000000000004">
      <c r="A1080" t="str">
        <f t="shared" si="35"/>
        <v>28</v>
      </c>
      <c r="B1080" t="str">
        <f>"28.0504"</f>
        <v>28.0504</v>
      </c>
      <c r="C1080" t="s">
        <v>8</v>
      </c>
      <c r="D1080" t="s">
        <v>12</v>
      </c>
      <c r="E1080" t="s">
        <v>2427</v>
      </c>
      <c r="F1080" t="s">
        <v>2428</v>
      </c>
    </row>
    <row r="1081" spans="1:8" x14ac:dyDescent="0.55000000000000004">
      <c r="A1081" t="str">
        <f t="shared" si="35"/>
        <v>28</v>
      </c>
      <c r="B1081" t="str">
        <f>"28.0505"</f>
        <v>28.0505</v>
      </c>
      <c r="C1081" t="s">
        <v>8</v>
      </c>
      <c r="D1081" t="s">
        <v>12</v>
      </c>
      <c r="E1081" t="s">
        <v>2429</v>
      </c>
      <c r="F1081" t="s">
        <v>2430</v>
      </c>
    </row>
    <row r="1082" spans="1:8" x14ac:dyDescent="0.55000000000000004">
      <c r="A1082" t="str">
        <f t="shared" si="35"/>
        <v>28</v>
      </c>
      <c r="B1082" t="str">
        <f>"28.0506"</f>
        <v>28.0506</v>
      </c>
      <c r="C1082" t="s">
        <v>8</v>
      </c>
      <c r="D1082" t="s">
        <v>12</v>
      </c>
      <c r="E1082" t="s">
        <v>2431</v>
      </c>
      <c r="F1082" t="s">
        <v>2432</v>
      </c>
      <c r="H1082" t="s">
        <v>2433</v>
      </c>
    </row>
    <row r="1083" spans="1:8" x14ac:dyDescent="0.55000000000000004">
      <c r="A1083" t="str">
        <f t="shared" si="35"/>
        <v>28</v>
      </c>
      <c r="B1083" t="str">
        <f>"28.0599"</f>
        <v>28.0599</v>
      </c>
      <c r="C1083" t="s">
        <v>8</v>
      </c>
      <c r="D1083" t="s">
        <v>12</v>
      </c>
      <c r="E1083" t="s">
        <v>2434</v>
      </c>
      <c r="F1083" t="s">
        <v>2435</v>
      </c>
    </row>
    <row r="1084" spans="1:8" x14ac:dyDescent="0.55000000000000004">
      <c r="A1084" t="str">
        <f t="shared" si="35"/>
        <v>28</v>
      </c>
      <c r="B1084" t="str">
        <f>"28.06"</f>
        <v>28.06</v>
      </c>
      <c r="C1084" t="s">
        <v>8</v>
      </c>
      <c r="D1084" t="s">
        <v>12</v>
      </c>
      <c r="E1084" t="s">
        <v>2436</v>
      </c>
      <c r="F1084" t="s">
        <v>2437</v>
      </c>
    </row>
    <row r="1085" spans="1:8" x14ac:dyDescent="0.55000000000000004">
      <c r="A1085" t="str">
        <f t="shared" si="35"/>
        <v>28</v>
      </c>
      <c r="B1085" t="str">
        <f>"28.0601"</f>
        <v>28.0601</v>
      </c>
      <c r="C1085" t="s">
        <v>8</v>
      </c>
      <c r="D1085" t="s">
        <v>12</v>
      </c>
      <c r="E1085" t="s">
        <v>2438</v>
      </c>
      <c r="F1085" t="s">
        <v>2439</v>
      </c>
      <c r="G1085" t="s">
        <v>2440</v>
      </c>
    </row>
    <row r="1086" spans="1:8" x14ac:dyDescent="0.55000000000000004">
      <c r="A1086" t="str">
        <f t="shared" si="35"/>
        <v>28</v>
      </c>
      <c r="B1086" t="str">
        <f>"28.0602"</f>
        <v>28.0602</v>
      </c>
      <c r="C1086" t="s">
        <v>8</v>
      </c>
      <c r="D1086" t="s">
        <v>12</v>
      </c>
      <c r="E1086" t="s">
        <v>2441</v>
      </c>
      <c r="F1086" t="s">
        <v>2442</v>
      </c>
    </row>
    <row r="1087" spans="1:8" x14ac:dyDescent="0.55000000000000004">
      <c r="A1087" t="str">
        <f t="shared" si="35"/>
        <v>28</v>
      </c>
      <c r="B1087" t="str">
        <f>"28.0603"</f>
        <v>28.0603</v>
      </c>
      <c r="C1087" t="s">
        <v>8</v>
      </c>
      <c r="D1087" t="s">
        <v>12</v>
      </c>
      <c r="E1087" t="s">
        <v>2443</v>
      </c>
      <c r="F1087" t="s">
        <v>2444</v>
      </c>
    </row>
    <row r="1088" spans="1:8" x14ac:dyDescent="0.55000000000000004">
      <c r="A1088" t="str">
        <f t="shared" si="35"/>
        <v>28</v>
      </c>
      <c r="B1088" t="str">
        <f>"28.0604"</f>
        <v>28.0604</v>
      </c>
      <c r="C1088" t="s">
        <v>8</v>
      </c>
      <c r="D1088" t="s">
        <v>12</v>
      </c>
      <c r="E1088" t="s">
        <v>2445</v>
      </c>
      <c r="F1088" t="s">
        <v>2446</v>
      </c>
      <c r="H1088" t="s">
        <v>2447</v>
      </c>
    </row>
    <row r="1089" spans="1:8" x14ac:dyDescent="0.55000000000000004">
      <c r="A1089" t="str">
        <f t="shared" si="35"/>
        <v>28</v>
      </c>
      <c r="B1089" t="str">
        <f>"28.0605"</f>
        <v>28.0605</v>
      </c>
      <c r="C1089" t="s">
        <v>8</v>
      </c>
      <c r="D1089" t="s">
        <v>12</v>
      </c>
      <c r="E1089" t="s">
        <v>2448</v>
      </c>
      <c r="F1089" t="s">
        <v>2449</v>
      </c>
      <c r="H1089" t="s">
        <v>2450</v>
      </c>
    </row>
    <row r="1090" spans="1:8" x14ac:dyDescent="0.55000000000000004">
      <c r="A1090" t="str">
        <f t="shared" si="35"/>
        <v>28</v>
      </c>
      <c r="B1090" t="str">
        <f>"28.0699"</f>
        <v>28.0699</v>
      </c>
      <c r="C1090" t="s">
        <v>8</v>
      </c>
      <c r="D1090" t="s">
        <v>12</v>
      </c>
      <c r="E1090" t="s">
        <v>2451</v>
      </c>
      <c r="F1090" t="s">
        <v>2452</v>
      </c>
    </row>
    <row r="1091" spans="1:8" x14ac:dyDescent="0.55000000000000004">
      <c r="A1091" t="str">
        <f t="shared" si="35"/>
        <v>28</v>
      </c>
      <c r="B1091" t="str">
        <f>"28.07"</f>
        <v>28.07</v>
      </c>
      <c r="C1091" t="s">
        <v>8</v>
      </c>
      <c r="D1091" t="s">
        <v>12</v>
      </c>
      <c r="E1091" t="s">
        <v>2453</v>
      </c>
      <c r="F1091" t="s">
        <v>2454</v>
      </c>
    </row>
    <row r="1092" spans="1:8" x14ac:dyDescent="0.55000000000000004">
      <c r="A1092" t="str">
        <f t="shared" si="35"/>
        <v>28</v>
      </c>
      <c r="B1092" t="str">
        <f>"28.0701"</f>
        <v>28.0701</v>
      </c>
      <c r="C1092" t="s">
        <v>8</v>
      </c>
      <c r="D1092" t="s">
        <v>12</v>
      </c>
      <c r="E1092" t="s">
        <v>2455</v>
      </c>
      <c r="F1092" t="s">
        <v>2456</v>
      </c>
    </row>
    <row r="1093" spans="1:8" x14ac:dyDescent="0.55000000000000004">
      <c r="A1093" t="str">
        <f t="shared" si="35"/>
        <v>28</v>
      </c>
      <c r="B1093" t="str">
        <f>"28.0702"</f>
        <v>28.0702</v>
      </c>
      <c r="C1093" t="s">
        <v>8</v>
      </c>
      <c r="D1093" t="s">
        <v>12</v>
      </c>
      <c r="E1093" t="s">
        <v>2457</v>
      </c>
      <c r="F1093" t="s">
        <v>2458</v>
      </c>
    </row>
    <row r="1094" spans="1:8" x14ac:dyDescent="0.55000000000000004">
      <c r="A1094" t="str">
        <f t="shared" si="35"/>
        <v>28</v>
      </c>
      <c r="B1094" t="str">
        <f>"28.0703"</f>
        <v>28.0703</v>
      </c>
      <c r="C1094" t="s">
        <v>8</v>
      </c>
      <c r="D1094" t="s">
        <v>12</v>
      </c>
      <c r="E1094" t="s">
        <v>2459</v>
      </c>
      <c r="F1094" t="s">
        <v>2460</v>
      </c>
    </row>
    <row r="1095" spans="1:8" x14ac:dyDescent="0.55000000000000004">
      <c r="A1095" t="str">
        <f t="shared" si="35"/>
        <v>28</v>
      </c>
      <c r="B1095" t="str">
        <f>"28.0799"</f>
        <v>28.0799</v>
      </c>
      <c r="C1095" t="s">
        <v>8</v>
      </c>
      <c r="D1095" t="s">
        <v>12</v>
      </c>
      <c r="E1095" t="s">
        <v>2461</v>
      </c>
      <c r="F1095" t="s">
        <v>2462</v>
      </c>
    </row>
    <row r="1096" spans="1:8" x14ac:dyDescent="0.55000000000000004">
      <c r="A1096" t="str">
        <f t="shared" si="35"/>
        <v>28</v>
      </c>
      <c r="B1096" t="str">
        <f>"28.08"</f>
        <v>28.08</v>
      </c>
      <c r="C1096" t="s">
        <v>47</v>
      </c>
      <c r="D1096" t="s">
        <v>12</v>
      </c>
      <c r="E1096" t="s">
        <v>82</v>
      </c>
      <c r="F1096" t="s">
        <v>2463</v>
      </c>
    </row>
    <row r="1097" spans="1:8" x14ac:dyDescent="0.55000000000000004">
      <c r="A1097" t="str">
        <f t="shared" si="35"/>
        <v>28</v>
      </c>
      <c r="B1097" t="str">
        <f>"28.0801"</f>
        <v>28.0801</v>
      </c>
      <c r="C1097" t="s">
        <v>47</v>
      </c>
      <c r="D1097" t="s">
        <v>12</v>
      </c>
      <c r="E1097" t="s">
        <v>82</v>
      </c>
      <c r="F1097" t="s">
        <v>83</v>
      </c>
    </row>
    <row r="1098" spans="1:8" x14ac:dyDescent="0.55000000000000004">
      <c r="A1098" t="str">
        <f t="shared" si="35"/>
        <v>28</v>
      </c>
      <c r="B1098" t="str">
        <f>"28.99"</f>
        <v>28.99</v>
      </c>
      <c r="C1098" t="s">
        <v>8</v>
      </c>
      <c r="D1098" t="s">
        <v>12</v>
      </c>
      <c r="E1098" t="s">
        <v>2464</v>
      </c>
      <c r="F1098" t="s">
        <v>2465</v>
      </c>
    </row>
    <row r="1099" spans="1:8" x14ac:dyDescent="0.55000000000000004">
      <c r="A1099" t="str">
        <f t="shared" si="35"/>
        <v>28</v>
      </c>
      <c r="B1099" t="str">
        <f>"28.9999"</f>
        <v>28.9999</v>
      </c>
      <c r="C1099" t="s">
        <v>8</v>
      </c>
      <c r="D1099" t="s">
        <v>12</v>
      </c>
      <c r="E1099" t="s">
        <v>2464</v>
      </c>
      <c r="F1099" t="s">
        <v>2466</v>
      </c>
    </row>
    <row r="1100" spans="1:8" x14ac:dyDescent="0.55000000000000004">
      <c r="A1100" t="str">
        <f>"29"</f>
        <v>29</v>
      </c>
      <c r="B1100" t="str">
        <f>"29"</f>
        <v>29</v>
      </c>
      <c r="C1100" t="s">
        <v>8</v>
      </c>
      <c r="D1100" t="s">
        <v>12</v>
      </c>
      <c r="E1100" t="s">
        <v>2467</v>
      </c>
      <c r="F1100" t="s">
        <v>2468</v>
      </c>
    </row>
    <row r="1101" spans="1:8" x14ac:dyDescent="0.55000000000000004">
      <c r="A1101" t="str">
        <f t="shared" ref="A1101:A1135" si="36">"29"</f>
        <v>29</v>
      </c>
      <c r="B1101" t="str">
        <f>"29.02"</f>
        <v>29.02</v>
      </c>
      <c r="C1101" t="s">
        <v>8</v>
      </c>
      <c r="D1101" t="s">
        <v>12</v>
      </c>
      <c r="E1101" t="s">
        <v>2469</v>
      </c>
      <c r="F1101" t="s">
        <v>2470</v>
      </c>
    </row>
    <row r="1102" spans="1:8" x14ac:dyDescent="0.55000000000000004">
      <c r="A1102" t="str">
        <f t="shared" si="36"/>
        <v>29</v>
      </c>
      <c r="B1102" t="str">
        <f>"29.0201"</f>
        <v>29.0201</v>
      </c>
      <c r="C1102" t="s">
        <v>8</v>
      </c>
      <c r="D1102" t="s">
        <v>12</v>
      </c>
      <c r="E1102" t="s">
        <v>2471</v>
      </c>
      <c r="F1102" t="s">
        <v>2472</v>
      </c>
    </row>
    <row r="1103" spans="1:8" x14ac:dyDescent="0.55000000000000004">
      <c r="A1103" t="str">
        <f t="shared" si="36"/>
        <v>29</v>
      </c>
      <c r="B1103" t="str">
        <f>"29.0202"</f>
        <v>29.0202</v>
      </c>
      <c r="C1103" t="s">
        <v>8</v>
      </c>
      <c r="D1103" t="s">
        <v>12</v>
      </c>
      <c r="E1103" t="s">
        <v>2473</v>
      </c>
      <c r="F1103" t="s">
        <v>2474</v>
      </c>
    </row>
    <row r="1104" spans="1:8" x14ac:dyDescent="0.55000000000000004">
      <c r="A1104" t="str">
        <f t="shared" si="36"/>
        <v>29</v>
      </c>
      <c r="B1104" t="str">
        <f>"29.0203"</f>
        <v>29.0203</v>
      </c>
      <c r="C1104" t="s">
        <v>8</v>
      </c>
      <c r="D1104" t="s">
        <v>12</v>
      </c>
      <c r="E1104" t="s">
        <v>2475</v>
      </c>
      <c r="F1104" t="s">
        <v>2476</v>
      </c>
      <c r="H1104" t="s">
        <v>2477</v>
      </c>
    </row>
    <row r="1105" spans="1:8" x14ac:dyDescent="0.55000000000000004">
      <c r="A1105" t="str">
        <f t="shared" si="36"/>
        <v>29</v>
      </c>
      <c r="B1105" t="str">
        <f>"29.0204"</f>
        <v>29.0204</v>
      </c>
      <c r="C1105" t="s">
        <v>8</v>
      </c>
      <c r="D1105" t="s">
        <v>12</v>
      </c>
      <c r="E1105" t="s">
        <v>2478</v>
      </c>
      <c r="F1105" t="s">
        <v>2479</v>
      </c>
    </row>
    <row r="1106" spans="1:8" x14ac:dyDescent="0.55000000000000004">
      <c r="A1106" t="str">
        <f t="shared" si="36"/>
        <v>29</v>
      </c>
      <c r="B1106" t="str">
        <f>"29.0205"</f>
        <v>29.0205</v>
      </c>
      <c r="C1106" t="s">
        <v>8</v>
      </c>
      <c r="D1106" t="s">
        <v>12</v>
      </c>
      <c r="E1106" t="s">
        <v>2480</v>
      </c>
      <c r="F1106" t="s">
        <v>2481</v>
      </c>
    </row>
    <row r="1107" spans="1:8" x14ac:dyDescent="0.55000000000000004">
      <c r="A1107" t="str">
        <f t="shared" si="36"/>
        <v>29</v>
      </c>
      <c r="B1107" t="str">
        <f>"29.0206"</f>
        <v>29.0206</v>
      </c>
      <c r="C1107" t="s">
        <v>8</v>
      </c>
      <c r="D1107" t="s">
        <v>12</v>
      </c>
      <c r="E1107" t="s">
        <v>2482</v>
      </c>
      <c r="F1107" t="s">
        <v>2483</v>
      </c>
    </row>
    <row r="1108" spans="1:8" x14ac:dyDescent="0.55000000000000004">
      <c r="A1108" t="str">
        <f t="shared" si="36"/>
        <v>29</v>
      </c>
      <c r="B1108" t="str">
        <f>"29.0207"</f>
        <v>29.0207</v>
      </c>
      <c r="C1108" t="s">
        <v>8</v>
      </c>
      <c r="D1108" t="s">
        <v>12</v>
      </c>
      <c r="E1108" t="s">
        <v>2484</v>
      </c>
      <c r="F1108" t="s">
        <v>2485</v>
      </c>
      <c r="H1108" t="s">
        <v>2486</v>
      </c>
    </row>
    <row r="1109" spans="1:8" x14ac:dyDescent="0.55000000000000004">
      <c r="A1109" t="str">
        <f t="shared" si="36"/>
        <v>29</v>
      </c>
      <c r="B1109" t="str">
        <f>"29.0299"</f>
        <v>29.0299</v>
      </c>
      <c r="C1109" t="s">
        <v>8</v>
      </c>
      <c r="D1109" t="s">
        <v>12</v>
      </c>
      <c r="E1109" t="s">
        <v>2487</v>
      </c>
      <c r="F1109" t="s">
        <v>2488</v>
      </c>
    </row>
    <row r="1110" spans="1:8" x14ac:dyDescent="0.55000000000000004">
      <c r="A1110" t="str">
        <f t="shared" si="36"/>
        <v>29</v>
      </c>
      <c r="B1110" t="str">
        <f>"29.03"</f>
        <v>29.03</v>
      </c>
      <c r="C1110" t="s">
        <v>8</v>
      </c>
      <c r="D1110" t="s">
        <v>12</v>
      </c>
      <c r="E1110" t="s">
        <v>2489</v>
      </c>
      <c r="F1110" t="s">
        <v>2490</v>
      </c>
    </row>
    <row r="1111" spans="1:8" x14ac:dyDescent="0.55000000000000004">
      <c r="A1111" t="str">
        <f t="shared" si="36"/>
        <v>29</v>
      </c>
      <c r="B1111" t="str">
        <f>"29.0301"</f>
        <v>29.0301</v>
      </c>
      <c r="C1111" t="s">
        <v>8</v>
      </c>
      <c r="D1111" t="s">
        <v>12</v>
      </c>
      <c r="E1111" t="s">
        <v>2491</v>
      </c>
      <c r="F1111" t="s">
        <v>2492</v>
      </c>
    </row>
    <row r="1112" spans="1:8" x14ac:dyDescent="0.55000000000000004">
      <c r="A1112" t="str">
        <f t="shared" si="36"/>
        <v>29</v>
      </c>
      <c r="B1112" t="str">
        <f>"29.0302"</f>
        <v>29.0302</v>
      </c>
      <c r="C1112" t="s">
        <v>8</v>
      </c>
      <c r="D1112" t="s">
        <v>12</v>
      </c>
      <c r="E1112" t="s">
        <v>2493</v>
      </c>
      <c r="F1112" t="s">
        <v>2494</v>
      </c>
    </row>
    <row r="1113" spans="1:8" x14ac:dyDescent="0.55000000000000004">
      <c r="A1113" t="str">
        <f t="shared" si="36"/>
        <v>29</v>
      </c>
      <c r="B1113" t="str">
        <f>"29.0303"</f>
        <v>29.0303</v>
      </c>
      <c r="C1113" t="s">
        <v>8</v>
      </c>
      <c r="D1113" t="s">
        <v>12</v>
      </c>
      <c r="E1113" t="s">
        <v>2495</v>
      </c>
      <c r="F1113" t="s">
        <v>2496</v>
      </c>
    </row>
    <row r="1114" spans="1:8" x14ac:dyDescent="0.55000000000000004">
      <c r="A1114" t="str">
        <f t="shared" si="36"/>
        <v>29</v>
      </c>
      <c r="B1114" t="str">
        <f>"29.0304"</f>
        <v>29.0304</v>
      </c>
      <c r="C1114" t="s">
        <v>8</v>
      </c>
      <c r="D1114" t="s">
        <v>12</v>
      </c>
      <c r="E1114" t="s">
        <v>2497</v>
      </c>
      <c r="F1114" t="s">
        <v>2498</v>
      </c>
    </row>
    <row r="1115" spans="1:8" x14ac:dyDescent="0.55000000000000004">
      <c r="A1115" t="str">
        <f t="shared" si="36"/>
        <v>29</v>
      </c>
      <c r="B1115" t="str">
        <f>"29.0305"</f>
        <v>29.0305</v>
      </c>
      <c r="C1115" t="s">
        <v>8</v>
      </c>
      <c r="D1115" t="s">
        <v>12</v>
      </c>
      <c r="E1115" t="s">
        <v>2499</v>
      </c>
      <c r="F1115" t="s">
        <v>2500</v>
      </c>
    </row>
    <row r="1116" spans="1:8" x14ac:dyDescent="0.55000000000000004">
      <c r="A1116" t="str">
        <f t="shared" si="36"/>
        <v>29</v>
      </c>
      <c r="B1116" t="str">
        <f>"29.0306"</f>
        <v>29.0306</v>
      </c>
      <c r="C1116" t="s">
        <v>8</v>
      </c>
      <c r="D1116" t="s">
        <v>12</v>
      </c>
      <c r="E1116" t="s">
        <v>2501</v>
      </c>
      <c r="F1116" t="s">
        <v>2502</v>
      </c>
    </row>
    <row r="1117" spans="1:8" x14ac:dyDescent="0.55000000000000004">
      <c r="A1117" t="str">
        <f t="shared" si="36"/>
        <v>29</v>
      </c>
      <c r="B1117" t="str">
        <f>"29.0307"</f>
        <v>29.0307</v>
      </c>
      <c r="C1117" t="s">
        <v>8</v>
      </c>
      <c r="D1117" t="s">
        <v>12</v>
      </c>
      <c r="E1117" t="s">
        <v>2503</v>
      </c>
      <c r="F1117" t="s">
        <v>2504</v>
      </c>
    </row>
    <row r="1118" spans="1:8" x14ac:dyDescent="0.55000000000000004">
      <c r="A1118" t="str">
        <f t="shared" si="36"/>
        <v>29</v>
      </c>
      <c r="B1118" t="str">
        <f>"29.0399"</f>
        <v>29.0399</v>
      </c>
      <c r="C1118" t="s">
        <v>8</v>
      </c>
      <c r="D1118" t="s">
        <v>12</v>
      </c>
      <c r="E1118" t="s">
        <v>2505</v>
      </c>
      <c r="F1118" t="s">
        <v>2506</v>
      </c>
    </row>
    <row r="1119" spans="1:8" x14ac:dyDescent="0.55000000000000004">
      <c r="A1119" t="str">
        <f t="shared" si="36"/>
        <v>29</v>
      </c>
      <c r="B1119" t="str">
        <f>"29.04"</f>
        <v>29.04</v>
      </c>
      <c r="C1119" t="s">
        <v>8</v>
      </c>
      <c r="D1119" t="s">
        <v>12</v>
      </c>
      <c r="E1119" t="s">
        <v>2507</v>
      </c>
      <c r="F1119" t="s">
        <v>2508</v>
      </c>
    </row>
    <row r="1120" spans="1:8" x14ac:dyDescent="0.55000000000000004">
      <c r="A1120" t="str">
        <f t="shared" si="36"/>
        <v>29</v>
      </c>
      <c r="B1120" t="str">
        <f>"29.0401"</f>
        <v>29.0401</v>
      </c>
      <c r="C1120" t="s">
        <v>8</v>
      </c>
      <c r="D1120" t="s">
        <v>12</v>
      </c>
      <c r="E1120" t="s">
        <v>2509</v>
      </c>
      <c r="F1120" t="s">
        <v>2510</v>
      </c>
    </row>
    <row r="1121" spans="1:6" x14ac:dyDescent="0.55000000000000004">
      <c r="A1121" t="str">
        <f t="shared" si="36"/>
        <v>29</v>
      </c>
      <c r="B1121" t="str">
        <f>"29.0402"</f>
        <v>29.0402</v>
      </c>
      <c r="C1121" t="s">
        <v>8</v>
      </c>
      <c r="D1121" t="s">
        <v>12</v>
      </c>
      <c r="E1121" t="s">
        <v>2511</v>
      </c>
      <c r="F1121" t="s">
        <v>2512</v>
      </c>
    </row>
    <row r="1122" spans="1:6" x14ac:dyDescent="0.55000000000000004">
      <c r="A1122" t="str">
        <f t="shared" si="36"/>
        <v>29</v>
      </c>
      <c r="B1122" t="str">
        <f>"29.0403"</f>
        <v>29.0403</v>
      </c>
      <c r="C1122" t="s">
        <v>8</v>
      </c>
      <c r="D1122" t="s">
        <v>12</v>
      </c>
      <c r="E1122" t="s">
        <v>2513</v>
      </c>
      <c r="F1122" t="s">
        <v>2514</v>
      </c>
    </row>
    <row r="1123" spans="1:6" x14ac:dyDescent="0.55000000000000004">
      <c r="A1123" t="str">
        <f t="shared" si="36"/>
        <v>29</v>
      </c>
      <c r="B1123" t="str">
        <f>"29.0404"</f>
        <v>29.0404</v>
      </c>
      <c r="C1123" t="s">
        <v>8</v>
      </c>
      <c r="D1123" t="s">
        <v>12</v>
      </c>
      <c r="E1123" t="s">
        <v>2515</v>
      </c>
      <c r="F1123" t="s">
        <v>2516</v>
      </c>
    </row>
    <row r="1124" spans="1:6" x14ac:dyDescent="0.55000000000000004">
      <c r="A1124" t="str">
        <f t="shared" si="36"/>
        <v>29</v>
      </c>
      <c r="B1124" t="str">
        <f>"29.0405"</f>
        <v>29.0405</v>
      </c>
      <c r="C1124" t="s">
        <v>8</v>
      </c>
      <c r="D1124" t="s">
        <v>12</v>
      </c>
      <c r="E1124" t="s">
        <v>2517</v>
      </c>
      <c r="F1124" t="s">
        <v>2518</v>
      </c>
    </row>
    <row r="1125" spans="1:6" x14ac:dyDescent="0.55000000000000004">
      <c r="A1125" t="str">
        <f t="shared" si="36"/>
        <v>29</v>
      </c>
      <c r="B1125" t="str">
        <f>"29.0406"</f>
        <v>29.0406</v>
      </c>
      <c r="C1125" t="s">
        <v>8</v>
      </c>
      <c r="D1125" t="s">
        <v>12</v>
      </c>
      <c r="E1125" t="s">
        <v>2519</v>
      </c>
      <c r="F1125" t="s">
        <v>2520</v>
      </c>
    </row>
    <row r="1126" spans="1:6" x14ac:dyDescent="0.55000000000000004">
      <c r="A1126" t="str">
        <f t="shared" si="36"/>
        <v>29</v>
      </c>
      <c r="B1126" t="str">
        <f>"29.0407"</f>
        <v>29.0407</v>
      </c>
      <c r="C1126" t="s">
        <v>8</v>
      </c>
      <c r="D1126" t="s">
        <v>12</v>
      </c>
      <c r="E1126" t="s">
        <v>2521</v>
      </c>
      <c r="F1126" t="s">
        <v>2522</v>
      </c>
    </row>
    <row r="1127" spans="1:6" x14ac:dyDescent="0.55000000000000004">
      <c r="A1127" t="str">
        <f t="shared" si="36"/>
        <v>29</v>
      </c>
      <c r="B1127" t="str">
        <f>"29.0408"</f>
        <v>29.0408</v>
      </c>
      <c r="C1127" t="s">
        <v>8</v>
      </c>
      <c r="D1127" t="s">
        <v>12</v>
      </c>
      <c r="E1127" t="s">
        <v>2523</v>
      </c>
      <c r="F1127" t="s">
        <v>2524</v>
      </c>
    </row>
    <row r="1128" spans="1:6" x14ac:dyDescent="0.55000000000000004">
      <c r="A1128" t="str">
        <f t="shared" si="36"/>
        <v>29</v>
      </c>
      <c r="B1128" t="str">
        <f>"29.0409"</f>
        <v>29.0409</v>
      </c>
      <c r="C1128" t="s">
        <v>8</v>
      </c>
      <c r="D1128" t="s">
        <v>12</v>
      </c>
      <c r="E1128" t="s">
        <v>2525</v>
      </c>
      <c r="F1128" t="s">
        <v>2526</v>
      </c>
    </row>
    <row r="1129" spans="1:6" x14ac:dyDescent="0.55000000000000004">
      <c r="A1129" t="str">
        <f t="shared" si="36"/>
        <v>29</v>
      </c>
      <c r="B1129" t="str">
        <f>"29.0499"</f>
        <v>29.0499</v>
      </c>
      <c r="C1129" t="s">
        <v>8</v>
      </c>
      <c r="D1129" t="s">
        <v>12</v>
      </c>
      <c r="E1129" t="s">
        <v>2527</v>
      </c>
      <c r="F1129" t="s">
        <v>2528</v>
      </c>
    </row>
    <row r="1130" spans="1:6" x14ac:dyDescent="0.55000000000000004">
      <c r="A1130" t="str">
        <f t="shared" si="36"/>
        <v>29</v>
      </c>
      <c r="B1130" t="str">
        <f>"29.05"</f>
        <v>29.05</v>
      </c>
      <c r="C1130" t="s">
        <v>47</v>
      </c>
      <c r="D1130" t="s">
        <v>12</v>
      </c>
      <c r="E1130" t="s">
        <v>82</v>
      </c>
      <c r="F1130" t="s">
        <v>2529</v>
      </c>
    </row>
    <row r="1131" spans="1:6" x14ac:dyDescent="0.55000000000000004">
      <c r="A1131" t="str">
        <f t="shared" si="36"/>
        <v>29</v>
      </c>
      <c r="B1131" t="str">
        <f>"29.0501"</f>
        <v>29.0501</v>
      </c>
      <c r="C1131" t="s">
        <v>47</v>
      </c>
      <c r="D1131" t="s">
        <v>12</v>
      </c>
      <c r="E1131" t="s">
        <v>82</v>
      </c>
      <c r="F1131" t="s">
        <v>83</v>
      </c>
    </row>
    <row r="1132" spans="1:6" x14ac:dyDescent="0.55000000000000004">
      <c r="A1132" t="str">
        <f t="shared" si="36"/>
        <v>29</v>
      </c>
      <c r="B1132" t="str">
        <f>"29.06"</f>
        <v>29.06</v>
      </c>
      <c r="C1132" t="s">
        <v>47</v>
      </c>
      <c r="D1132" t="s">
        <v>12</v>
      </c>
      <c r="E1132" t="s">
        <v>2530</v>
      </c>
      <c r="F1132" t="s">
        <v>2531</v>
      </c>
    </row>
    <row r="1133" spans="1:6" x14ac:dyDescent="0.55000000000000004">
      <c r="A1133" t="str">
        <f t="shared" si="36"/>
        <v>29</v>
      </c>
      <c r="B1133" t="str">
        <f>"29.0601"</f>
        <v>29.0601</v>
      </c>
      <c r="C1133" t="s">
        <v>47</v>
      </c>
      <c r="D1133" t="s">
        <v>12</v>
      </c>
      <c r="E1133" t="s">
        <v>2530</v>
      </c>
      <c r="F1133" t="s">
        <v>2532</v>
      </c>
    </row>
    <row r="1134" spans="1:6" x14ac:dyDescent="0.55000000000000004">
      <c r="A1134" t="str">
        <f t="shared" si="36"/>
        <v>29</v>
      </c>
      <c r="B1134" t="str">
        <f>"29.99"</f>
        <v>29.99</v>
      </c>
      <c r="C1134" t="s">
        <v>8</v>
      </c>
      <c r="D1134" t="s">
        <v>12</v>
      </c>
      <c r="E1134" t="s">
        <v>2533</v>
      </c>
      <c r="F1134" t="s">
        <v>2534</v>
      </c>
    </row>
    <row r="1135" spans="1:6" x14ac:dyDescent="0.55000000000000004">
      <c r="A1135" t="str">
        <f t="shared" si="36"/>
        <v>29</v>
      </c>
      <c r="B1135" t="str">
        <f>"29.9999"</f>
        <v>29.9999</v>
      </c>
      <c r="C1135" t="s">
        <v>8</v>
      </c>
      <c r="D1135" t="s">
        <v>12</v>
      </c>
      <c r="E1135" t="s">
        <v>2533</v>
      </c>
      <c r="F1135" t="s">
        <v>2535</v>
      </c>
    </row>
    <row r="1136" spans="1:6" x14ac:dyDescent="0.55000000000000004">
      <c r="A1136" t="str">
        <f>"30"</f>
        <v>30</v>
      </c>
      <c r="B1136" t="str">
        <f>"30"</f>
        <v>30</v>
      </c>
      <c r="C1136" t="s">
        <v>8</v>
      </c>
      <c r="D1136" t="s">
        <v>12</v>
      </c>
      <c r="E1136" t="s">
        <v>2536</v>
      </c>
      <c r="F1136" t="s">
        <v>2537</v>
      </c>
    </row>
    <row r="1137" spans="1:8" x14ac:dyDescent="0.55000000000000004">
      <c r="A1137" t="str">
        <f t="shared" ref="A1137:A1168" si="37">"30"</f>
        <v>30</v>
      </c>
      <c r="B1137" t="str">
        <f>"30.00"</f>
        <v>30.00</v>
      </c>
      <c r="C1137" t="s">
        <v>8</v>
      </c>
      <c r="D1137" t="s">
        <v>12</v>
      </c>
      <c r="E1137" t="s">
        <v>2538</v>
      </c>
      <c r="F1137" t="s">
        <v>2539</v>
      </c>
    </row>
    <row r="1138" spans="1:8" x14ac:dyDescent="0.55000000000000004">
      <c r="A1138" t="str">
        <f t="shared" si="37"/>
        <v>30</v>
      </c>
      <c r="B1138" t="str">
        <f>"30.0000"</f>
        <v>30.0000</v>
      </c>
      <c r="C1138" t="s">
        <v>8</v>
      </c>
      <c r="D1138" t="s">
        <v>12</v>
      </c>
      <c r="E1138" t="s">
        <v>2538</v>
      </c>
      <c r="F1138" t="s">
        <v>2540</v>
      </c>
      <c r="H1138" t="s">
        <v>2541</v>
      </c>
    </row>
    <row r="1139" spans="1:8" x14ac:dyDescent="0.55000000000000004">
      <c r="A1139" t="str">
        <f t="shared" si="37"/>
        <v>30</v>
      </c>
      <c r="B1139" t="str">
        <f>"30.0001"</f>
        <v>30.0001</v>
      </c>
      <c r="C1139" t="s">
        <v>47</v>
      </c>
      <c r="D1139" t="s">
        <v>12</v>
      </c>
      <c r="E1139" t="s">
        <v>2542</v>
      </c>
      <c r="F1139" t="s">
        <v>2543</v>
      </c>
    </row>
    <row r="1140" spans="1:8" x14ac:dyDescent="0.55000000000000004">
      <c r="A1140" t="str">
        <f t="shared" si="37"/>
        <v>30</v>
      </c>
      <c r="B1140" t="str">
        <f>"30.01"</f>
        <v>30.01</v>
      </c>
      <c r="C1140" t="s">
        <v>8</v>
      </c>
      <c r="D1140" t="s">
        <v>12</v>
      </c>
      <c r="E1140" t="s">
        <v>2544</v>
      </c>
      <c r="F1140" t="s">
        <v>2545</v>
      </c>
    </row>
    <row r="1141" spans="1:8" x14ac:dyDescent="0.55000000000000004">
      <c r="A1141" t="str">
        <f t="shared" si="37"/>
        <v>30</v>
      </c>
      <c r="B1141" t="str">
        <f>"30.0101"</f>
        <v>30.0101</v>
      </c>
      <c r="C1141" t="s">
        <v>8</v>
      </c>
      <c r="D1141" t="s">
        <v>12</v>
      </c>
      <c r="E1141" t="s">
        <v>2544</v>
      </c>
      <c r="F1141" t="s">
        <v>2546</v>
      </c>
      <c r="G1141" t="s">
        <v>2547</v>
      </c>
      <c r="H1141" t="s">
        <v>2548</v>
      </c>
    </row>
    <row r="1142" spans="1:8" x14ac:dyDescent="0.55000000000000004">
      <c r="A1142" t="str">
        <f t="shared" si="37"/>
        <v>30</v>
      </c>
      <c r="B1142" t="str">
        <f>"30.05"</f>
        <v>30.05</v>
      </c>
      <c r="C1142" t="s">
        <v>8</v>
      </c>
      <c r="D1142" t="s">
        <v>12</v>
      </c>
      <c r="E1142" t="s">
        <v>2549</v>
      </c>
      <c r="F1142" t="s">
        <v>2550</v>
      </c>
    </row>
    <row r="1143" spans="1:8" x14ac:dyDescent="0.55000000000000004">
      <c r="A1143" t="str">
        <f t="shared" si="37"/>
        <v>30</v>
      </c>
      <c r="B1143" t="str">
        <f>"30.0501"</f>
        <v>30.0501</v>
      </c>
      <c r="C1143" t="s">
        <v>8</v>
      </c>
      <c r="D1143" t="s">
        <v>12</v>
      </c>
      <c r="E1143" t="s">
        <v>2549</v>
      </c>
      <c r="F1143" t="s">
        <v>2551</v>
      </c>
      <c r="G1143" t="s">
        <v>2552</v>
      </c>
    </row>
    <row r="1144" spans="1:8" x14ac:dyDescent="0.55000000000000004">
      <c r="A1144" t="str">
        <f t="shared" si="37"/>
        <v>30</v>
      </c>
      <c r="B1144" t="str">
        <f>"30.06"</f>
        <v>30.06</v>
      </c>
      <c r="C1144" t="s">
        <v>8</v>
      </c>
      <c r="D1144" t="s">
        <v>12</v>
      </c>
      <c r="E1144" t="s">
        <v>2553</v>
      </c>
      <c r="F1144" t="s">
        <v>2554</v>
      </c>
    </row>
    <row r="1145" spans="1:8" x14ac:dyDescent="0.55000000000000004">
      <c r="A1145" t="str">
        <f t="shared" si="37"/>
        <v>30</v>
      </c>
      <c r="B1145" t="str">
        <f>"30.0601"</f>
        <v>30.0601</v>
      </c>
      <c r="C1145" t="s">
        <v>8</v>
      </c>
      <c r="D1145" t="s">
        <v>12</v>
      </c>
      <c r="E1145" t="s">
        <v>2553</v>
      </c>
      <c r="F1145" t="s">
        <v>2555</v>
      </c>
      <c r="G1145" t="s">
        <v>735</v>
      </c>
    </row>
    <row r="1146" spans="1:8" x14ac:dyDescent="0.55000000000000004">
      <c r="A1146" t="str">
        <f t="shared" si="37"/>
        <v>30</v>
      </c>
      <c r="B1146" t="str">
        <f>"30.08"</f>
        <v>30.08</v>
      </c>
      <c r="C1146" t="s">
        <v>8</v>
      </c>
      <c r="D1146" t="s">
        <v>12</v>
      </c>
      <c r="E1146" t="s">
        <v>2556</v>
      </c>
      <c r="F1146" t="s">
        <v>2557</v>
      </c>
    </row>
    <row r="1147" spans="1:8" x14ac:dyDescent="0.55000000000000004">
      <c r="A1147" t="str">
        <f t="shared" si="37"/>
        <v>30</v>
      </c>
      <c r="B1147" t="str">
        <f>"30.0801"</f>
        <v>30.0801</v>
      </c>
      <c r="C1147" t="s">
        <v>8</v>
      </c>
      <c r="D1147" t="s">
        <v>12</v>
      </c>
      <c r="E1147" t="s">
        <v>2556</v>
      </c>
      <c r="F1147" t="s">
        <v>2558</v>
      </c>
      <c r="G1147" t="s">
        <v>2559</v>
      </c>
    </row>
    <row r="1148" spans="1:8" x14ac:dyDescent="0.55000000000000004">
      <c r="A1148" t="str">
        <f t="shared" si="37"/>
        <v>30</v>
      </c>
      <c r="B1148" t="str">
        <f>"30.10"</f>
        <v>30.10</v>
      </c>
      <c r="C1148" t="s">
        <v>8</v>
      </c>
      <c r="D1148" t="s">
        <v>12</v>
      </c>
      <c r="E1148" t="s">
        <v>2560</v>
      </c>
      <c r="F1148" t="s">
        <v>2561</v>
      </c>
    </row>
    <row r="1149" spans="1:8" x14ac:dyDescent="0.55000000000000004">
      <c r="A1149" t="str">
        <f t="shared" si="37"/>
        <v>30</v>
      </c>
      <c r="B1149" t="str">
        <f>"30.1001"</f>
        <v>30.1001</v>
      </c>
      <c r="C1149" t="s">
        <v>8</v>
      </c>
      <c r="D1149" t="s">
        <v>12</v>
      </c>
      <c r="E1149" t="s">
        <v>2560</v>
      </c>
      <c r="F1149" t="s">
        <v>2562</v>
      </c>
      <c r="G1149" t="s">
        <v>2563</v>
      </c>
    </row>
    <row r="1150" spans="1:8" x14ac:dyDescent="0.55000000000000004">
      <c r="A1150" t="str">
        <f t="shared" si="37"/>
        <v>30</v>
      </c>
      <c r="B1150" t="str">
        <f>"30.11"</f>
        <v>30.11</v>
      </c>
      <c r="C1150" t="s">
        <v>8</v>
      </c>
      <c r="D1150" t="s">
        <v>12</v>
      </c>
      <c r="E1150" t="s">
        <v>2564</v>
      </c>
      <c r="F1150" t="s">
        <v>2565</v>
      </c>
    </row>
    <row r="1151" spans="1:8" x14ac:dyDescent="0.55000000000000004">
      <c r="A1151" t="str">
        <f t="shared" si="37"/>
        <v>30</v>
      </c>
      <c r="B1151" t="str">
        <f>"30.1101"</f>
        <v>30.1101</v>
      </c>
      <c r="C1151" t="s">
        <v>8</v>
      </c>
      <c r="D1151" t="s">
        <v>12</v>
      </c>
      <c r="E1151" t="s">
        <v>2564</v>
      </c>
      <c r="F1151" t="s">
        <v>2566</v>
      </c>
      <c r="G1151" t="s">
        <v>2567</v>
      </c>
    </row>
    <row r="1152" spans="1:8" x14ac:dyDescent="0.55000000000000004">
      <c r="A1152" t="str">
        <f t="shared" si="37"/>
        <v>30</v>
      </c>
      <c r="B1152" t="str">
        <f>"30.12"</f>
        <v>30.12</v>
      </c>
      <c r="C1152" t="s">
        <v>8</v>
      </c>
      <c r="D1152" t="s">
        <v>12</v>
      </c>
      <c r="E1152" t="s">
        <v>2568</v>
      </c>
      <c r="F1152" t="s">
        <v>2569</v>
      </c>
    </row>
    <row r="1153" spans="1:8" x14ac:dyDescent="0.55000000000000004">
      <c r="A1153" t="str">
        <f t="shared" si="37"/>
        <v>30</v>
      </c>
      <c r="B1153" t="str">
        <f>"30.1201"</f>
        <v>30.1201</v>
      </c>
      <c r="C1153" t="s">
        <v>8</v>
      </c>
      <c r="D1153" t="s">
        <v>9</v>
      </c>
      <c r="E1153" t="s">
        <v>2570</v>
      </c>
      <c r="F1153" t="s">
        <v>2571</v>
      </c>
      <c r="G1153" t="s">
        <v>2572</v>
      </c>
    </row>
    <row r="1154" spans="1:8" x14ac:dyDescent="0.55000000000000004">
      <c r="A1154" t="str">
        <f t="shared" si="37"/>
        <v>30</v>
      </c>
      <c r="B1154" t="str">
        <f>"30.1202"</f>
        <v>30.1202</v>
      </c>
      <c r="C1154" t="s">
        <v>8</v>
      </c>
      <c r="D1154" t="s">
        <v>12</v>
      </c>
      <c r="E1154" t="s">
        <v>2573</v>
      </c>
      <c r="F1154" t="s">
        <v>2574</v>
      </c>
      <c r="G1154" t="s">
        <v>2084</v>
      </c>
    </row>
    <row r="1155" spans="1:8" x14ac:dyDescent="0.55000000000000004">
      <c r="A1155" t="str">
        <f t="shared" si="37"/>
        <v>30</v>
      </c>
      <c r="B1155" t="str">
        <f>"30.1299"</f>
        <v>30.1299</v>
      </c>
      <c r="C1155" t="s">
        <v>8</v>
      </c>
      <c r="D1155" t="s">
        <v>12</v>
      </c>
      <c r="E1155" t="s">
        <v>2575</v>
      </c>
      <c r="F1155" t="s">
        <v>2576</v>
      </c>
    </row>
    <row r="1156" spans="1:8" x14ac:dyDescent="0.55000000000000004">
      <c r="A1156" t="str">
        <f t="shared" si="37"/>
        <v>30</v>
      </c>
      <c r="B1156" t="str">
        <f>"30.13"</f>
        <v>30.13</v>
      </c>
      <c r="C1156" t="s">
        <v>8</v>
      </c>
      <c r="D1156" t="s">
        <v>12</v>
      </c>
      <c r="E1156" t="s">
        <v>2577</v>
      </c>
      <c r="F1156" t="s">
        <v>2578</v>
      </c>
    </row>
    <row r="1157" spans="1:8" x14ac:dyDescent="0.55000000000000004">
      <c r="A1157" t="str">
        <f t="shared" si="37"/>
        <v>30</v>
      </c>
      <c r="B1157" t="str">
        <f>"30.1301"</f>
        <v>30.1301</v>
      </c>
      <c r="C1157" t="s">
        <v>8</v>
      </c>
      <c r="D1157" t="s">
        <v>12</v>
      </c>
      <c r="E1157" t="s">
        <v>2577</v>
      </c>
      <c r="F1157" t="s">
        <v>2579</v>
      </c>
      <c r="H1157" t="s">
        <v>2580</v>
      </c>
    </row>
    <row r="1158" spans="1:8" x14ac:dyDescent="0.55000000000000004">
      <c r="A1158" t="str">
        <f t="shared" si="37"/>
        <v>30</v>
      </c>
      <c r="B1158" t="str">
        <f>"30.14"</f>
        <v>30.14</v>
      </c>
      <c r="C1158" t="s">
        <v>8</v>
      </c>
      <c r="D1158" t="s">
        <v>12</v>
      </c>
      <c r="E1158" t="s">
        <v>2581</v>
      </c>
      <c r="F1158" t="s">
        <v>2582</v>
      </c>
    </row>
    <row r="1159" spans="1:8" x14ac:dyDescent="0.55000000000000004">
      <c r="A1159" t="str">
        <f t="shared" si="37"/>
        <v>30</v>
      </c>
      <c r="B1159" t="str">
        <f>"30.1401"</f>
        <v>30.1401</v>
      </c>
      <c r="C1159" t="s">
        <v>8</v>
      </c>
      <c r="D1159" t="s">
        <v>12</v>
      </c>
      <c r="E1159" t="s">
        <v>2581</v>
      </c>
      <c r="F1159" t="s">
        <v>2583</v>
      </c>
      <c r="G1159" t="s">
        <v>2584</v>
      </c>
    </row>
    <row r="1160" spans="1:8" x14ac:dyDescent="0.55000000000000004">
      <c r="A1160" t="str">
        <f t="shared" si="37"/>
        <v>30</v>
      </c>
      <c r="B1160" t="str">
        <f>"30.15"</f>
        <v>30.15</v>
      </c>
      <c r="C1160" t="s">
        <v>8</v>
      </c>
      <c r="D1160" t="s">
        <v>12</v>
      </c>
      <c r="E1160" t="s">
        <v>2585</v>
      </c>
      <c r="F1160" t="s">
        <v>2586</v>
      </c>
    </row>
    <row r="1161" spans="1:8" x14ac:dyDescent="0.55000000000000004">
      <c r="A1161" t="str">
        <f t="shared" si="37"/>
        <v>30</v>
      </c>
      <c r="B1161" t="str">
        <f>"30.1501"</f>
        <v>30.1501</v>
      </c>
      <c r="C1161" t="s">
        <v>8</v>
      </c>
      <c r="D1161" t="s">
        <v>12</v>
      </c>
      <c r="E1161" t="s">
        <v>2585</v>
      </c>
      <c r="F1161" t="s">
        <v>2587</v>
      </c>
      <c r="G1161" t="s">
        <v>2588</v>
      </c>
      <c r="H1161" t="s">
        <v>2589</v>
      </c>
    </row>
    <row r="1162" spans="1:8" x14ac:dyDescent="0.55000000000000004">
      <c r="A1162" t="str">
        <f t="shared" si="37"/>
        <v>30</v>
      </c>
      <c r="B1162" t="str">
        <f>"30.16"</f>
        <v>30.16</v>
      </c>
      <c r="C1162" t="s">
        <v>8</v>
      </c>
      <c r="D1162" t="s">
        <v>12</v>
      </c>
      <c r="E1162" t="s">
        <v>2590</v>
      </c>
      <c r="F1162" t="s">
        <v>2591</v>
      </c>
    </row>
    <row r="1163" spans="1:8" x14ac:dyDescent="0.55000000000000004">
      <c r="A1163" t="str">
        <f t="shared" si="37"/>
        <v>30</v>
      </c>
      <c r="B1163" t="str">
        <f>"30.1601"</f>
        <v>30.1601</v>
      </c>
      <c r="C1163" t="s">
        <v>8</v>
      </c>
      <c r="D1163" t="s">
        <v>12</v>
      </c>
      <c r="E1163" t="s">
        <v>2590</v>
      </c>
      <c r="F1163" t="s">
        <v>2592</v>
      </c>
      <c r="G1163" t="s">
        <v>2593</v>
      </c>
    </row>
    <row r="1164" spans="1:8" x14ac:dyDescent="0.55000000000000004">
      <c r="A1164" t="str">
        <f t="shared" si="37"/>
        <v>30</v>
      </c>
      <c r="B1164" t="str">
        <f>"30.17"</f>
        <v>30.17</v>
      </c>
      <c r="C1164" t="s">
        <v>8</v>
      </c>
      <c r="D1164" t="s">
        <v>12</v>
      </c>
      <c r="E1164" t="s">
        <v>2594</v>
      </c>
      <c r="F1164" t="s">
        <v>2595</v>
      </c>
    </row>
    <row r="1165" spans="1:8" x14ac:dyDescent="0.55000000000000004">
      <c r="A1165" t="str">
        <f t="shared" si="37"/>
        <v>30</v>
      </c>
      <c r="B1165" t="str">
        <f>"30.1701"</f>
        <v>30.1701</v>
      </c>
      <c r="C1165" t="s">
        <v>8</v>
      </c>
      <c r="D1165" t="s">
        <v>12</v>
      </c>
      <c r="E1165" t="s">
        <v>2594</v>
      </c>
      <c r="F1165" t="s">
        <v>2596</v>
      </c>
      <c r="G1165" t="s">
        <v>2597</v>
      </c>
    </row>
    <row r="1166" spans="1:8" x14ac:dyDescent="0.55000000000000004">
      <c r="A1166" t="str">
        <f t="shared" si="37"/>
        <v>30</v>
      </c>
      <c r="B1166" t="str">
        <f>"30.18"</f>
        <v>30.18</v>
      </c>
      <c r="C1166" t="s">
        <v>8</v>
      </c>
      <c r="D1166" t="s">
        <v>12</v>
      </c>
      <c r="E1166" t="s">
        <v>2598</v>
      </c>
      <c r="F1166" t="s">
        <v>2599</v>
      </c>
    </row>
    <row r="1167" spans="1:8" x14ac:dyDescent="0.55000000000000004">
      <c r="A1167" t="str">
        <f t="shared" si="37"/>
        <v>30</v>
      </c>
      <c r="B1167" t="str">
        <f>"30.1801"</f>
        <v>30.1801</v>
      </c>
      <c r="C1167" t="s">
        <v>8</v>
      </c>
      <c r="D1167" t="s">
        <v>12</v>
      </c>
      <c r="E1167" t="s">
        <v>2598</v>
      </c>
      <c r="F1167" t="s">
        <v>2600</v>
      </c>
    </row>
    <row r="1168" spans="1:8" x14ac:dyDescent="0.55000000000000004">
      <c r="A1168" t="str">
        <f t="shared" si="37"/>
        <v>30</v>
      </c>
      <c r="B1168" t="str">
        <f>"30.19"</f>
        <v>30.19</v>
      </c>
      <c r="C1168" t="s">
        <v>8</v>
      </c>
      <c r="D1168" t="s">
        <v>12</v>
      </c>
      <c r="E1168" t="s">
        <v>2601</v>
      </c>
      <c r="F1168" t="s">
        <v>2602</v>
      </c>
    </row>
    <row r="1169" spans="1:8" x14ac:dyDescent="0.55000000000000004">
      <c r="A1169" t="str">
        <f t="shared" ref="A1169:A1200" si="38">"30"</f>
        <v>30</v>
      </c>
      <c r="B1169" t="str">
        <f>"30.1901"</f>
        <v>30.1901</v>
      </c>
      <c r="C1169" t="s">
        <v>8</v>
      </c>
      <c r="D1169" t="s">
        <v>12</v>
      </c>
      <c r="E1169" t="s">
        <v>2601</v>
      </c>
      <c r="F1169" t="s">
        <v>2603</v>
      </c>
      <c r="G1169" t="s">
        <v>2604</v>
      </c>
    </row>
    <row r="1170" spans="1:8" x14ac:dyDescent="0.55000000000000004">
      <c r="A1170" t="str">
        <f t="shared" si="38"/>
        <v>30</v>
      </c>
      <c r="B1170" t="str">
        <f>"30.20"</f>
        <v>30.20</v>
      </c>
      <c r="C1170" t="s">
        <v>8</v>
      </c>
      <c r="D1170" t="s">
        <v>9</v>
      </c>
      <c r="E1170" t="s">
        <v>2605</v>
      </c>
      <c r="F1170" t="s">
        <v>2606</v>
      </c>
    </row>
    <row r="1171" spans="1:8" x14ac:dyDescent="0.55000000000000004">
      <c r="A1171" t="str">
        <f t="shared" si="38"/>
        <v>30</v>
      </c>
      <c r="B1171" t="str">
        <f>"30.2001"</f>
        <v>30.2001</v>
      </c>
      <c r="C1171" t="s">
        <v>8</v>
      </c>
      <c r="D1171" t="s">
        <v>9</v>
      </c>
      <c r="E1171" t="s">
        <v>2605</v>
      </c>
      <c r="F1171" t="s">
        <v>2607</v>
      </c>
      <c r="G1171" t="s">
        <v>2608</v>
      </c>
      <c r="H1171" t="s">
        <v>2609</v>
      </c>
    </row>
    <row r="1172" spans="1:8" x14ac:dyDescent="0.55000000000000004">
      <c r="A1172" t="str">
        <f t="shared" si="38"/>
        <v>30</v>
      </c>
      <c r="B1172" t="str">
        <f>"30.21"</f>
        <v>30.21</v>
      </c>
      <c r="C1172" t="s">
        <v>8</v>
      </c>
      <c r="D1172" t="s">
        <v>12</v>
      </c>
      <c r="E1172" t="s">
        <v>2610</v>
      </c>
      <c r="F1172" t="s">
        <v>2611</v>
      </c>
    </row>
    <row r="1173" spans="1:8" x14ac:dyDescent="0.55000000000000004">
      <c r="A1173" t="str">
        <f t="shared" si="38"/>
        <v>30</v>
      </c>
      <c r="B1173" t="str">
        <f>"30.2101"</f>
        <v>30.2101</v>
      </c>
      <c r="C1173" t="s">
        <v>8</v>
      </c>
      <c r="D1173" t="s">
        <v>12</v>
      </c>
      <c r="E1173" t="s">
        <v>2610</v>
      </c>
      <c r="F1173" t="s">
        <v>2612</v>
      </c>
      <c r="G1173" t="s">
        <v>2613</v>
      </c>
    </row>
    <row r="1174" spans="1:8" x14ac:dyDescent="0.55000000000000004">
      <c r="A1174" t="str">
        <f t="shared" si="38"/>
        <v>30</v>
      </c>
      <c r="B1174" t="str">
        <f>"30.22"</f>
        <v>30.22</v>
      </c>
      <c r="C1174" t="s">
        <v>8</v>
      </c>
      <c r="D1174" t="s">
        <v>12</v>
      </c>
      <c r="E1174" t="s">
        <v>2614</v>
      </c>
      <c r="F1174" t="s">
        <v>2615</v>
      </c>
    </row>
    <row r="1175" spans="1:8" x14ac:dyDescent="0.55000000000000004">
      <c r="A1175" t="str">
        <f t="shared" si="38"/>
        <v>30</v>
      </c>
      <c r="B1175" t="str">
        <f>"30.2201"</f>
        <v>30.2201</v>
      </c>
      <c r="C1175" t="s">
        <v>8</v>
      </c>
      <c r="D1175" t="s">
        <v>12</v>
      </c>
      <c r="E1175" t="s">
        <v>2616</v>
      </c>
      <c r="F1175" t="s">
        <v>2617</v>
      </c>
    </row>
    <row r="1176" spans="1:8" x14ac:dyDescent="0.55000000000000004">
      <c r="A1176" t="str">
        <f t="shared" si="38"/>
        <v>30</v>
      </c>
      <c r="B1176" t="str">
        <f>"30.2202"</f>
        <v>30.2202</v>
      </c>
      <c r="C1176" t="s">
        <v>8</v>
      </c>
      <c r="D1176" t="s">
        <v>9</v>
      </c>
      <c r="E1176" t="s">
        <v>2618</v>
      </c>
      <c r="F1176" t="s">
        <v>2619</v>
      </c>
      <c r="G1176" t="s">
        <v>2620</v>
      </c>
      <c r="H1176" t="s">
        <v>2621</v>
      </c>
    </row>
    <row r="1177" spans="1:8" x14ac:dyDescent="0.55000000000000004">
      <c r="A1177" t="str">
        <f t="shared" si="38"/>
        <v>30</v>
      </c>
      <c r="B1177" t="str">
        <f>"30.2299"</f>
        <v>30.2299</v>
      </c>
      <c r="C1177" t="s">
        <v>47</v>
      </c>
      <c r="D1177" t="s">
        <v>12</v>
      </c>
      <c r="E1177" t="s">
        <v>2622</v>
      </c>
      <c r="F1177" t="s">
        <v>2623</v>
      </c>
    </row>
    <row r="1178" spans="1:8" x14ac:dyDescent="0.55000000000000004">
      <c r="A1178" t="str">
        <f t="shared" si="38"/>
        <v>30</v>
      </c>
      <c r="B1178" t="str">
        <f>"30.23"</f>
        <v>30.23</v>
      </c>
      <c r="C1178" t="s">
        <v>8</v>
      </c>
      <c r="D1178" t="s">
        <v>12</v>
      </c>
      <c r="E1178" t="s">
        <v>2624</v>
      </c>
      <c r="F1178" t="s">
        <v>2625</v>
      </c>
    </row>
    <row r="1179" spans="1:8" x14ac:dyDescent="0.55000000000000004">
      <c r="A1179" t="str">
        <f t="shared" si="38"/>
        <v>30</v>
      </c>
      <c r="B1179" t="str">
        <f>"30.2301"</f>
        <v>30.2301</v>
      </c>
      <c r="C1179" t="s">
        <v>8</v>
      </c>
      <c r="D1179" t="s">
        <v>12</v>
      </c>
      <c r="E1179" t="s">
        <v>2624</v>
      </c>
      <c r="F1179" t="s">
        <v>2626</v>
      </c>
      <c r="G1179" t="s">
        <v>2627</v>
      </c>
    </row>
    <row r="1180" spans="1:8" x14ac:dyDescent="0.55000000000000004">
      <c r="A1180" t="str">
        <f t="shared" si="38"/>
        <v>30</v>
      </c>
      <c r="B1180" t="str">
        <f>"30.25"</f>
        <v>30.25</v>
      </c>
      <c r="C1180" t="s">
        <v>8</v>
      </c>
      <c r="D1180" t="s">
        <v>12</v>
      </c>
      <c r="E1180" t="s">
        <v>2628</v>
      </c>
      <c r="F1180" t="s">
        <v>2629</v>
      </c>
    </row>
    <row r="1181" spans="1:8" x14ac:dyDescent="0.55000000000000004">
      <c r="A1181" t="str">
        <f t="shared" si="38"/>
        <v>30</v>
      </c>
      <c r="B1181" t="str">
        <f>"30.2501"</f>
        <v>30.2501</v>
      </c>
      <c r="C1181" t="s">
        <v>8</v>
      </c>
      <c r="D1181" t="s">
        <v>9</v>
      </c>
      <c r="E1181" t="s">
        <v>2630</v>
      </c>
      <c r="F1181" t="s">
        <v>2631</v>
      </c>
      <c r="G1181" t="s">
        <v>2632</v>
      </c>
    </row>
    <row r="1182" spans="1:8" x14ac:dyDescent="0.55000000000000004">
      <c r="A1182" t="str">
        <f t="shared" si="38"/>
        <v>30</v>
      </c>
      <c r="B1182" t="str">
        <f>"30.2502"</f>
        <v>30.2502</v>
      </c>
      <c r="C1182" t="s">
        <v>47</v>
      </c>
      <c r="D1182" t="s">
        <v>12</v>
      </c>
      <c r="E1182" t="s">
        <v>2633</v>
      </c>
      <c r="F1182" t="s">
        <v>2634</v>
      </c>
    </row>
    <row r="1183" spans="1:8" x14ac:dyDescent="0.55000000000000004">
      <c r="A1183" t="str">
        <f t="shared" si="38"/>
        <v>30</v>
      </c>
      <c r="B1183" t="str">
        <f>"30.2599"</f>
        <v>30.2599</v>
      </c>
      <c r="C1183" t="s">
        <v>47</v>
      </c>
      <c r="D1183" t="s">
        <v>12</v>
      </c>
      <c r="E1183" t="s">
        <v>2635</v>
      </c>
      <c r="F1183" t="s">
        <v>2636</v>
      </c>
    </row>
    <row r="1184" spans="1:8" x14ac:dyDescent="0.55000000000000004">
      <c r="A1184" t="str">
        <f t="shared" si="38"/>
        <v>30</v>
      </c>
      <c r="B1184" t="str">
        <f>"30.26"</f>
        <v>30.26</v>
      </c>
      <c r="C1184" t="s">
        <v>8</v>
      </c>
      <c r="D1184" t="s">
        <v>12</v>
      </c>
      <c r="E1184" t="s">
        <v>2637</v>
      </c>
      <c r="F1184" t="s">
        <v>2638</v>
      </c>
    </row>
    <row r="1185" spans="1:8" x14ac:dyDescent="0.55000000000000004">
      <c r="A1185" t="str">
        <f t="shared" si="38"/>
        <v>30</v>
      </c>
      <c r="B1185" t="str">
        <f>"30.2601"</f>
        <v>30.2601</v>
      </c>
      <c r="C1185" t="s">
        <v>8</v>
      </c>
      <c r="D1185" t="s">
        <v>12</v>
      </c>
      <c r="E1185" t="s">
        <v>2637</v>
      </c>
      <c r="F1185" t="s">
        <v>2639</v>
      </c>
      <c r="G1185" t="s">
        <v>2640</v>
      </c>
      <c r="H1185" t="s">
        <v>2641</v>
      </c>
    </row>
    <row r="1186" spans="1:8" x14ac:dyDescent="0.55000000000000004">
      <c r="A1186" t="str">
        <f t="shared" si="38"/>
        <v>30</v>
      </c>
      <c r="B1186" t="str">
        <f>"30.27"</f>
        <v>30.27</v>
      </c>
      <c r="C1186" t="s">
        <v>8</v>
      </c>
      <c r="D1186" t="s">
        <v>12</v>
      </c>
      <c r="E1186" t="s">
        <v>2642</v>
      </c>
      <c r="F1186" t="s">
        <v>2643</v>
      </c>
    </row>
    <row r="1187" spans="1:8" x14ac:dyDescent="0.55000000000000004">
      <c r="A1187" t="str">
        <f t="shared" si="38"/>
        <v>30</v>
      </c>
      <c r="B1187" t="str">
        <f>"30.2701"</f>
        <v>30.2701</v>
      </c>
      <c r="C1187" t="s">
        <v>8</v>
      </c>
      <c r="D1187" t="s">
        <v>12</v>
      </c>
      <c r="E1187" t="s">
        <v>2642</v>
      </c>
      <c r="F1187" t="s">
        <v>2644</v>
      </c>
      <c r="H1187" t="s">
        <v>2645</v>
      </c>
    </row>
    <row r="1188" spans="1:8" x14ac:dyDescent="0.55000000000000004">
      <c r="A1188" t="str">
        <f t="shared" si="38"/>
        <v>30</v>
      </c>
      <c r="B1188" t="str">
        <f>"30.28"</f>
        <v>30.28</v>
      </c>
      <c r="C1188" t="s">
        <v>8</v>
      </c>
      <c r="D1188" t="s">
        <v>12</v>
      </c>
      <c r="E1188" t="s">
        <v>2646</v>
      </c>
      <c r="F1188" t="s">
        <v>2647</v>
      </c>
    </row>
    <row r="1189" spans="1:8" x14ac:dyDescent="0.55000000000000004">
      <c r="A1189" t="str">
        <f t="shared" si="38"/>
        <v>30</v>
      </c>
      <c r="B1189" t="str">
        <f>"30.2801"</f>
        <v>30.2801</v>
      </c>
      <c r="C1189" t="s">
        <v>8</v>
      </c>
      <c r="D1189" t="s">
        <v>12</v>
      </c>
      <c r="E1189" t="s">
        <v>2646</v>
      </c>
      <c r="F1189" t="s">
        <v>2648</v>
      </c>
      <c r="G1189" t="s">
        <v>2649</v>
      </c>
      <c r="H1189" t="s">
        <v>2650</v>
      </c>
    </row>
    <row r="1190" spans="1:8" x14ac:dyDescent="0.55000000000000004">
      <c r="A1190" t="str">
        <f t="shared" si="38"/>
        <v>30</v>
      </c>
      <c r="B1190" t="str">
        <f>"30.29"</f>
        <v>30.29</v>
      </c>
      <c r="C1190" t="s">
        <v>8</v>
      </c>
      <c r="D1190" t="s">
        <v>12</v>
      </c>
      <c r="E1190" t="s">
        <v>2651</v>
      </c>
      <c r="F1190" t="s">
        <v>2652</v>
      </c>
    </row>
    <row r="1191" spans="1:8" x14ac:dyDescent="0.55000000000000004">
      <c r="A1191" t="str">
        <f t="shared" si="38"/>
        <v>30</v>
      </c>
      <c r="B1191" t="str">
        <f>"30.2901"</f>
        <v>30.2901</v>
      </c>
      <c r="C1191" t="s">
        <v>8</v>
      </c>
      <c r="D1191" t="s">
        <v>12</v>
      </c>
      <c r="E1191" t="s">
        <v>2651</v>
      </c>
      <c r="F1191" t="s">
        <v>2653</v>
      </c>
    </row>
    <row r="1192" spans="1:8" x14ac:dyDescent="0.55000000000000004">
      <c r="A1192" t="str">
        <f t="shared" si="38"/>
        <v>30</v>
      </c>
      <c r="B1192" t="str">
        <f>"30.30"</f>
        <v>30.30</v>
      </c>
      <c r="C1192" t="s">
        <v>8</v>
      </c>
      <c r="D1192" t="s">
        <v>12</v>
      </c>
      <c r="E1192" t="s">
        <v>2654</v>
      </c>
      <c r="F1192" t="s">
        <v>2655</v>
      </c>
    </row>
    <row r="1193" spans="1:8" x14ac:dyDescent="0.55000000000000004">
      <c r="A1193" t="str">
        <f t="shared" si="38"/>
        <v>30</v>
      </c>
      <c r="B1193" t="str">
        <f>"30.3001"</f>
        <v>30.3001</v>
      </c>
      <c r="C1193" t="s">
        <v>8</v>
      </c>
      <c r="D1193" t="s">
        <v>12</v>
      </c>
      <c r="E1193" t="s">
        <v>2654</v>
      </c>
      <c r="F1193" t="s">
        <v>2656</v>
      </c>
      <c r="G1193" t="s">
        <v>2657</v>
      </c>
      <c r="H1193" t="s">
        <v>2658</v>
      </c>
    </row>
    <row r="1194" spans="1:8" x14ac:dyDescent="0.55000000000000004">
      <c r="A1194" t="str">
        <f t="shared" si="38"/>
        <v>30</v>
      </c>
      <c r="B1194" t="str">
        <f>"30.31"</f>
        <v>30.31</v>
      </c>
      <c r="C1194" t="s">
        <v>8</v>
      </c>
      <c r="D1194" t="s">
        <v>12</v>
      </c>
      <c r="E1194" t="s">
        <v>2659</v>
      </c>
      <c r="F1194" t="s">
        <v>2660</v>
      </c>
    </row>
    <row r="1195" spans="1:8" x14ac:dyDescent="0.55000000000000004">
      <c r="A1195" t="str">
        <f t="shared" si="38"/>
        <v>30</v>
      </c>
      <c r="B1195" t="str">
        <f>"30.3101"</f>
        <v>30.3101</v>
      </c>
      <c r="C1195" t="s">
        <v>8</v>
      </c>
      <c r="D1195" t="s">
        <v>9</v>
      </c>
      <c r="E1195" t="s">
        <v>2659</v>
      </c>
      <c r="F1195" t="s">
        <v>2661</v>
      </c>
      <c r="G1195" t="s">
        <v>2662</v>
      </c>
      <c r="H1195" t="s">
        <v>2663</v>
      </c>
    </row>
    <row r="1196" spans="1:8" x14ac:dyDescent="0.55000000000000004">
      <c r="A1196" t="str">
        <f t="shared" si="38"/>
        <v>30</v>
      </c>
      <c r="B1196" t="str">
        <f>"30.32"</f>
        <v>30.32</v>
      </c>
      <c r="C1196" t="s">
        <v>8</v>
      </c>
      <c r="D1196" t="s">
        <v>12</v>
      </c>
      <c r="E1196" t="s">
        <v>2664</v>
      </c>
      <c r="F1196" t="s">
        <v>2665</v>
      </c>
    </row>
    <row r="1197" spans="1:8" x14ac:dyDescent="0.55000000000000004">
      <c r="A1197" t="str">
        <f t="shared" si="38"/>
        <v>30</v>
      </c>
      <c r="B1197" t="str">
        <f>"30.3201"</f>
        <v>30.3201</v>
      </c>
      <c r="C1197" t="s">
        <v>8</v>
      </c>
      <c r="D1197" t="s">
        <v>12</v>
      </c>
      <c r="E1197" t="s">
        <v>2664</v>
      </c>
      <c r="F1197" t="s">
        <v>2666</v>
      </c>
      <c r="G1197" t="s">
        <v>2667</v>
      </c>
    </row>
    <row r="1198" spans="1:8" x14ac:dyDescent="0.55000000000000004">
      <c r="A1198" t="str">
        <f t="shared" si="38"/>
        <v>30</v>
      </c>
      <c r="B1198" t="str">
        <f>"30.33"</f>
        <v>30.33</v>
      </c>
      <c r="C1198" t="s">
        <v>8</v>
      </c>
      <c r="D1198" t="s">
        <v>12</v>
      </c>
      <c r="E1198" t="s">
        <v>2668</v>
      </c>
      <c r="F1198" t="s">
        <v>2669</v>
      </c>
    </row>
    <row r="1199" spans="1:8" x14ac:dyDescent="0.55000000000000004">
      <c r="A1199" t="str">
        <f t="shared" si="38"/>
        <v>30</v>
      </c>
      <c r="B1199" t="str">
        <f>"30.3301"</f>
        <v>30.3301</v>
      </c>
      <c r="C1199" t="s">
        <v>8</v>
      </c>
      <c r="D1199" t="s">
        <v>12</v>
      </c>
      <c r="E1199" t="s">
        <v>2668</v>
      </c>
      <c r="F1199" t="s">
        <v>2670</v>
      </c>
      <c r="G1199" t="s">
        <v>2671</v>
      </c>
      <c r="H1199" t="s">
        <v>2672</v>
      </c>
    </row>
    <row r="1200" spans="1:8" x14ac:dyDescent="0.55000000000000004">
      <c r="A1200" t="str">
        <f t="shared" si="38"/>
        <v>30</v>
      </c>
      <c r="B1200" t="str">
        <f>"30.34"</f>
        <v>30.34</v>
      </c>
      <c r="C1200" t="s">
        <v>47</v>
      </c>
      <c r="D1200" t="s">
        <v>12</v>
      </c>
      <c r="E1200" t="s">
        <v>2673</v>
      </c>
      <c r="F1200" t="s">
        <v>2674</v>
      </c>
    </row>
    <row r="1201" spans="1:7" x14ac:dyDescent="0.55000000000000004">
      <c r="A1201" t="str">
        <f t="shared" ref="A1201:A1232" si="39">"30"</f>
        <v>30</v>
      </c>
      <c r="B1201" t="str">
        <f>"30.3401"</f>
        <v>30.3401</v>
      </c>
      <c r="C1201" t="s">
        <v>47</v>
      </c>
      <c r="D1201" t="s">
        <v>12</v>
      </c>
      <c r="E1201" t="s">
        <v>2673</v>
      </c>
      <c r="F1201" t="s">
        <v>2675</v>
      </c>
    </row>
    <row r="1202" spans="1:7" x14ac:dyDescent="0.55000000000000004">
      <c r="A1202" t="str">
        <f t="shared" si="39"/>
        <v>30</v>
      </c>
      <c r="B1202" t="str">
        <f>"30.35"</f>
        <v>30.35</v>
      </c>
      <c r="C1202" t="s">
        <v>47</v>
      </c>
      <c r="D1202" t="s">
        <v>12</v>
      </c>
      <c r="E1202" t="s">
        <v>2676</v>
      </c>
      <c r="F1202" t="s">
        <v>2677</v>
      </c>
    </row>
    <row r="1203" spans="1:7" x14ac:dyDescent="0.55000000000000004">
      <c r="A1203" t="str">
        <f t="shared" si="39"/>
        <v>30</v>
      </c>
      <c r="B1203" t="str">
        <f>"30.3501"</f>
        <v>30.3501</v>
      </c>
      <c r="C1203" t="s">
        <v>47</v>
      </c>
      <c r="D1203" t="s">
        <v>12</v>
      </c>
      <c r="E1203" t="s">
        <v>2676</v>
      </c>
      <c r="F1203" t="s">
        <v>2678</v>
      </c>
    </row>
    <row r="1204" spans="1:7" x14ac:dyDescent="0.55000000000000004">
      <c r="A1204" t="str">
        <f t="shared" si="39"/>
        <v>30</v>
      </c>
      <c r="B1204" t="str">
        <f>"30.36"</f>
        <v>30.36</v>
      </c>
      <c r="C1204" t="s">
        <v>47</v>
      </c>
      <c r="D1204" t="s">
        <v>12</v>
      </c>
      <c r="E1204" t="s">
        <v>2679</v>
      </c>
      <c r="F1204" t="s">
        <v>2680</v>
      </c>
    </row>
    <row r="1205" spans="1:7" x14ac:dyDescent="0.55000000000000004">
      <c r="A1205" t="str">
        <f t="shared" si="39"/>
        <v>30</v>
      </c>
      <c r="B1205" t="str">
        <f>"30.3601"</f>
        <v>30.3601</v>
      </c>
      <c r="C1205" t="s">
        <v>47</v>
      </c>
      <c r="D1205" t="s">
        <v>12</v>
      </c>
      <c r="E1205" t="s">
        <v>2679</v>
      </c>
      <c r="F1205" t="s">
        <v>2681</v>
      </c>
      <c r="G1205" t="s">
        <v>2682</v>
      </c>
    </row>
    <row r="1206" spans="1:7" x14ac:dyDescent="0.55000000000000004">
      <c r="A1206" t="str">
        <f t="shared" si="39"/>
        <v>30</v>
      </c>
      <c r="B1206" t="str">
        <f>"30.37"</f>
        <v>30.37</v>
      </c>
      <c r="C1206" t="s">
        <v>47</v>
      </c>
      <c r="D1206" t="s">
        <v>12</v>
      </c>
      <c r="E1206" t="s">
        <v>2683</v>
      </c>
      <c r="F1206" t="s">
        <v>2684</v>
      </c>
    </row>
    <row r="1207" spans="1:7" x14ac:dyDescent="0.55000000000000004">
      <c r="A1207" t="str">
        <f t="shared" si="39"/>
        <v>30</v>
      </c>
      <c r="B1207" t="str">
        <f>"30.3701"</f>
        <v>30.3701</v>
      </c>
      <c r="C1207" t="s">
        <v>47</v>
      </c>
      <c r="D1207" t="s">
        <v>12</v>
      </c>
      <c r="E1207" t="s">
        <v>2683</v>
      </c>
      <c r="F1207" t="s">
        <v>2685</v>
      </c>
      <c r="G1207" t="s">
        <v>2686</v>
      </c>
    </row>
    <row r="1208" spans="1:7" x14ac:dyDescent="0.55000000000000004">
      <c r="A1208" t="str">
        <f t="shared" si="39"/>
        <v>30</v>
      </c>
      <c r="B1208" t="str">
        <f>"30.38"</f>
        <v>30.38</v>
      </c>
      <c r="C1208" t="s">
        <v>47</v>
      </c>
      <c r="D1208" t="s">
        <v>12</v>
      </c>
      <c r="E1208" t="s">
        <v>2687</v>
      </c>
      <c r="F1208" t="s">
        <v>2688</v>
      </c>
    </row>
    <row r="1209" spans="1:7" x14ac:dyDescent="0.55000000000000004">
      <c r="A1209" t="str">
        <f t="shared" si="39"/>
        <v>30</v>
      </c>
      <c r="B1209" t="str">
        <f>"30.3801"</f>
        <v>30.3801</v>
      </c>
      <c r="C1209" t="s">
        <v>47</v>
      </c>
      <c r="D1209" t="s">
        <v>12</v>
      </c>
      <c r="E1209" t="s">
        <v>2687</v>
      </c>
      <c r="F1209" t="s">
        <v>2689</v>
      </c>
    </row>
    <row r="1210" spans="1:7" x14ac:dyDescent="0.55000000000000004">
      <c r="A1210" t="str">
        <f t="shared" si="39"/>
        <v>30</v>
      </c>
      <c r="B1210" t="str">
        <f>"30.39"</f>
        <v>30.39</v>
      </c>
      <c r="C1210" t="s">
        <v>47</v>
      </c>
      <c r="D1210" t="s">
        <v>12</v>
      </c>
      <c r="E1210" t="s">
        <v>2690</v>
      </c>
      <c r="F1210" t="s">
        <v>2691</v>
      </c>
    </row>
    <row r="1211" spans="1:7" x14ac:dyDescent="0.55000000000000004">
      <c r="A1211" t="str">
        <f t="shared" si="39"/>
        <v>30</v>
      </c>
      <c r="B1211" t="str">
        <f>"30.3901"</f>
        <v>30.3901</v>
      </c>
      <c r="C1211" t="s">
        <v>47</v>
      </c>
      <c r="D1211" t="s">
        <v>12</v>
      </c>
      <c r="E1211" t="s">
        <v>2690</v>
      </c>
      <c r="F1211" t="s">
        <v>2692</v>
      </c>
    </row>
    <row r="1212" spans="1:7" x14ac:dyDescent="0.55000000000000004">
      <c r="A1212" t="str">
        <f t="shared" si="39"/>
        <v>30</v>
      </c>
      <c r="B1212" t="str">
        <f>"30.40"</f>
        <v>30.40</v>
      </c>
      <c r="C1212" t="s">
        <v>47</v>
      </c>
      <c r="D1212" t="s">
        <v>12</v>
      </c>
      <c r="E1212" t="s">
        <v>2693</v>
      </c>
      <c r="F1212" t="s">
        <v>2694</v>
      </c>
    </row>
    <row r="1213" spans="1:7" x14ac:dyDescent="0.55000000000000004">
      <c r="A1213" t="str">
        <f t="shared" si="39"/>
        <v>30</v>
      </c>
      <c r="B1213" t="str">
        <f>"30.4001"</f>
        <v>30.4001</v>
      </c>
      <c r="C1213" t="s">
        <v>47</v>
      </c>
      <c r="D1213" t="s">
        <v>12</v>
      </c>
      <c r="E1213" t="s">
        <v>2693</v>
      </c>
      <c r="F1213" t="s">
        <v>2695</v>
      </c>
      <c r="G1213" t="s">
        <v>2696</v>
      </c>
    </row>
    <row r="1214" spans="1:7" x14ac:dyDescent="0.55000000000000004">
      <c r="A1214" t="str">
        <f t="shared" si="39"/>
        <v>30</v>
      </c>
      <c r="B1214" t="str">
        <f>"30.41"</f>
        <v>30.41</v>
      </c>
      <c r="C1214" t="s">
        <v>47</v>
      </c>
      <c r="D1214" t="s">
        <v>12</v>
      </c>
      <c r="E1214" t="s">
        <v>2697</v>
      </c>
      <c r="F1214" t="s">
        <v>2698</v>
      </c>
    </row>
    <row r="1215" spans="1:7" x14ac:dyDescent="0.55000000000000004">
      <c r="A1215" t="str">
        <f t="shared" si="39"/>
        <v>30</v>
      </c>
      <c r="B1215" t="str">
        <f>"30.4101"</f>
        <v>30.4101</v>
      </c>
      <c r="C1215" t="s">
        <v>47</v>
      </c>
      <c r="D1215" t="s">
        <v>12</v>
      </c>
      <c r="E1215" t="s">
        <v>2697</v>
      </c>
      <c r="F1215" t="s">
        <v>2699</v>
      </c>
    </row>
    <row r="1216" spans="1:7" x14ac:dyDescent="0.55000000000000004">
      <c r="A1216" t="str">
        <f t="shared" si="39"/>
        <v>30</v>
      </c>
      <c r="B1216" t="str">
        <f>"30.42"</f>
        <v>30.42</v>
      </c>
      <c r="C1216" t="s">
        <v>47</v>
      </c>
      <c r="D1216" t="s">
        <v>12</v>
      </c>
      <c r="E1216" t="s">
        <v>2700</v>
      </c>
      <c r="F1216" t="s">
        <v>2701</v>
      </c>
    </row>
    <row r="1217" spans="1:8" x14ac:dyDescent="0.55000000000000004">
      <c r="A1217" t="str">
        <f t="shared" si="39"/>
        <v>30</v>
      </c>
      <c r="B1217" t="str">
        <f>"30.4201"</f>
        <v>30.4201</v>
      </c>
      <c r="C1217" t="s">
        <v>47</v>
      </c>
      <c r="D1217" t="s">
        <v>12</v>
      </c>
      <c r="E1217" t="s">
        <v>2700</v>
      </c>
      <c r="F1217" t="s">
        <v>2702</v>
      </c>
    </row>
    <row r="1218" spans="1:8" x14ac:dyDescent="0.55000000000000004">
      <c r="A1218" t="str">
        <f t="shared" si="39"/>
        <v>30</v>
      </c>
      <c r="B1218" t="str">
        <f>"30.43"</f>
        <v>30.43</v>
      </c>
      <c r="C1218" t="s">
        <v>47</v>
      </c>
      <c r="D1218" t="s">
        <v>12</v>
      </c>
      <c r="E1218" t="s">
        <v>2703</v>
      </c>
      <c r="F1218" t="s">
        <v>2704</v>
      </c>
    </row>
    <row r="1219" spans="1:8" x14ac:dyDescent="0.55000000000000004">
      <c r="A1219" t="str">
        <f t="shared" si="39"/>
        <v>30</v>
      </c>
      <c r="B1219" t="str">
        <f>"30.4301"</f>
        <v>30.4301</v>
      </c>
      <c r="C1219" t="s">
        <v>47</v>
      </c>
      <c r="D1219" t="s">
        <v>12</v>
      </c>
      <c r="E1219" t="s">
        <v>2703</v>
      </c>
      <c r="F1219" t="s">
        <v>2705</v>
      </c>
    </row>
    <row r="1220" spans="1:8" x14ac:dyDescent="0.55000000000000004">
      <c r="A1220" t="str">
        <f t="shared" si="39"/>
        <v>30</v>
      </c>
      <c r="B1220" t="str">
        <f>"30.44"</f>
        <v>30.44</v>
      </c>
      <c r="C1220" t="s">
        <v>47</v>
      </c>
      <c r="D1220" t="s">
        <v>12</v>
      </c>
      <c r="E1220" t="s">
        <v>2706</v>
      </c>
      <c r="F1220" t="s">
        <v>2707</v>
      </c>
    </row>
    <row r="1221" spans="1:8" x14ac:dyDescent="0.55000000000000004">
      <c r="A1221" t="str">
        <f t="shared" si="39"/>
        <v>30</v>
      </c>
      <c r="B1221" t="str">
        <f>"30.4401"</f>
        <v>30.4401</v>
      </c>
      <c r="C1221" t="s">
        <v>47</v>
      </c>
      <c r="D1221" t="s">
        <v>12</v>
      </c>
      <c r="E1221" t="s">
        <v>2706</v>
      </c>
      <c r="F1221" t="s">
        <v>2708</v>
      </c>
      <c r="G1221" t="s">
        <v>2709</v>
      </c>
    </row>
    <row r="1222" spans="1:8" x14ac:dyDescent="0.55000000000000004">
      <c r="A1222" t="str">
        <f t="shared" si="39"/>
        <v>30</v>
      </c>
      <c r="B1222" t="str">
        <f>"30.45"</f>
        <v>30.45</v>
      </c>
      <c r="C1222" t="s">
        <v>47</v>
      </c>
      <c r="D1222" t="s">
        <v>12</v>
      </c>
      <c r="E1222" t="s">
        <v>2710</v>
      </c>
      <c r="F1222" t="s">
        <v>2711</v>
      </c>
    </row>
    <row r="1223" spans="1:8" x14ac:dyDescent="0.55000000000000004">
      <c r="A1223" t="str">
        <f t="shared" si="39"/>
        <v>30</v>
      </c>
      <c r="B1223" t="str">
        <f>"30.4501"</f>
        <v>30.4501</v>
      </c>
      <c r="C1223" t="s">
        <v>47</v>
      </c>
      <c r="D1223" t="s">
        <v>12</v>
      </c>
      <c r="E1223" t="s">
        <v>2710</v>
      </c>
      <c r="F1223" t="s">
        <v>2712</v>
      </c>
      <c r="G1223" t="s">
        <v>2713</v>
      </c>
    </row>
    <row r="1224" spans="1:8" x14ac:dyDescent="0.55000000000000004">
      <c r="A1224" t="str">
        <f t="shared" si="39"/>
        <v>30</v>
      </c>
      <c r="B1224" t="str">
        <f>"30.46"</f>
        <v>30.46</v>
      </c>
      <c r="C1224" t="s">
        <v>47</v>
      </c>
      <c r="D1224" t="s">
        <v>12</v>
      </c>
      <c r="E1224" t="s">
        <v>2714</v>
      </c>
      <c r="F1224" t="s">
        <v>2715</v>
      </c>
    </row>
    <row r="1225" spans="1:8" x14ac:dyDescent="0.55000000000000004">
      <c r="A1225" t="str">
        <f t="shared" si="39"/>
        <v>30</v>
      </c>
      <c r="B1225" t="str">
        <f>"30.4601"</f>
        <v>30.4601</v>
      </c>
      <c r="C1225" t="s">
        <v>47</v>
      </c>
      <c r="D1225" t="s">
        <v>12</v>
      </c>
      <c r="E1225" t="s">
        <v>2714</v>
      </c>
      <c r="F1225" t="s">
        <v>2716</v>
      </c>
      <c r="G1225" t="s">
        <v>2717</v>
      </c>
    </row>
    <row r="1226" spans="1:8" x14ac:dyDescent="0.55000000000000004">
      <c r="A1226" t="str">
        <f t="shared" si="39"/>
        <v>30</v>
      </c>
      <c r="B1226" t="str">
        <f>"30.47"</f>
        <v>30.47</v>
      </c>
      <c r="C1226" t="s">
        <v>47</v>
      </c>
      <c r="D1226" t="s">
        <v>12</v>
      </c>
      <c r="E1226" t="s">
        <v>2718</v>
      </c>
      <c r="F1226" t="s">
        <v>2719</v>
      </c>
    </row>
    <row r="1227" spans="1:8" x14ac:dyDescent="0.55000000000000004">
      <c r="A1227" t="str">
        <f t="shared" si="39"/>
        <v>30</v>
      </c>
      <c r="B1227" t="str">
        <f>"30.4701"</f>
        <v>30.4701</v>
      </c>
      <c r="C1227" t="s">
        <v>47</v>
      </c>
      <c r="D1227" t="s">
        <v>12</v>
      </c>
      <c r="E1227" t="s">
        <v>2718</v>
      </c>
      <c r="F1227" t="s">
        <v>2720</v>
      </c>
      <c r="G1227" t="s">
        <v>2721</v>
      </c>
    </row>
    <row r="1228" spans="1:8" x14ac:dyDescent="0.55000000000000004">
      <c r="A1228" t="str">
        <f t="shared" si="39"/>
        <v>30</v>
      </c>
      <c r="B1228" t="str">
        <f>"30.48"</f>
        <v>30.48</v>
      </c>
      <c r="C1228" t="s">
        <v>47</v>
      </c>
      <c r="D1228" t="s">
        <v>12</v>
      </c>
      <c r="E1228" t="s">
        <v>2722</v>
      </c>
      <c r="F1228" t="s">
        <v>2723</v>
      </c>
    </row>
    <row r="1229" spans="1:8" x14ac:dyDescent="0.55000000000000004">
      <c r="A1229" t="str">
        <f t="shared" si="39"/>
        <v>30</v>
      </c>
      <c r="B1229" t="str">
        <f>"30.4801"</f>
        <v>30.4801</v>
      </c>
      <c r="C1229" t="s">
        <v>47</v>
      </c>
      <c r="D1229" t="s">
        <v>12</v>
      </c>
      <c r="E1229" t="s">
        <v>2722</v>
      </c>
      <c r="F1229" t="s">
        <v>2724</v>
      </c>
      <c r="G1229" t="s">
        <v>2725</v>
      </c>
    </row>
    <row r="1230" spans="1:8" x14ac:dyDescent="0.55000000000000004">
      <c r="A1230" t="str">
        <f t="shared" si="39"/>
        <v>30</v>
      </c>
      <c r="B1230" t="str">
        <f>"30.49"</f>
        <v>30.49</v>
      </c>
      <c r="C1230" t="s">
        <v>47</v>
      </c>
      <c r="D1230" t="s">
        <v>12</v>
      </c>
      <c r="E1230" t="s">
        <v>2726</v>
      </c>
      <c r="F1230" t="s">
        <v>2727</v>
      </c>
    </row>
    <row r="1231" spans="1:8" x14ac:dyDescent="0.55000000000000004">
      <c r="A1231" t="str">
        <f t="shared" si="39"/>
        <v>30</v>
      </c>
      <c r="B1231" t="str">
        <f>"30.4901"</f>
        <v>30.4901</v>
      </c>
      <c r="C1231" t="s">
        <v>47</v>
      </c>
      <c r="D1231" t="s">
        <v>12</v>
      </c>
      <c r="E1231" t="s">
        <v>2726</v>
      </c>
      <c r="F1231" t="s">
        <v>2728</v>
      </c>
      <c r="G1231" t="s">
        <v>2729</v>
      </c>
      <c r="H1231" t="s">
        <v>2730</v>
      </c>
    </row>
    <row r="1232" spans="1:8" x14ac:dyDescent="0.55000000000000004">
      <c r="A1232" t="str">
        <f t="shared" si="39"/>
        <v>30</v>
      </c>
      <c r="B1232" t="str">
        <f>"30.50"</f>
        <v>30.50</v>
      </c>
      <c r="C1232" t="s">
        <v>47</v>
      </c>
      <c r="D1232" t="s">
        <v>12</v>
      </c>
      <c r="E1232" t="s">
        <v>2731</v>
      </c>
      <c r="F1232" t="s">
        <v>2732</v>
      </c>
    </row>
    <row r="1233" spans="1:8" x14ac:dyDescent="0.55000000000000004">
      <c r="A1233" t="str">
        <f t="shared" ref="A1233:A1253" si="40">"30"</f>
        <v>30</v>
      </c>
      <c r="B1233" t="str">
        <f>"30.5001"</f>
        <v>30.5001</v>
      </c>
      <c r="C1233" t="s">
        <v>47</v>
      </c>
      <c r="D1233" t="s">
        <v>12</v>
      </c>
      <c r="E1233" t="s">
        <v>2731</v>
      </c>
      <c r="F1233" t="s">
        <v>2733</v>
      </c>
    </row>
    <row r="1234" spans="1:8" x14ac:dyDescent="0.55000000000000004">
      <c r="A1234" t="str">
        <f t="shared" si="40"/>
        <v>30</v>
      </c>
      <c r="B1234" t="str">
        <f>"30.51"</f>
        <v>30.51</v>
      </c>
      <c r="C1234" t="s">
        <v>47</v>
      </c>
      <c r="D1234" t="s">
        <v>12</v>
      </c>
      <c r="E1234" t="s">
        <v>2734</v>
      </c>
      <c r="F1234" t="s">
        <v>2735</v>
      </c>
    </row>
    <row r="1235" spans="1:8" x14ac:dyDescent="0.55000000000000004">
      <c r="A1235" t="str">
        <f t="shared" si="40"/>
        <v>30</v>
      </c>
      <c r="B1235" t="str">
        <f>"30.5101"</f>
        <v>30.5101</v>
      </c>
      <c r="C1235" t="s">
        <v>47</v>
      </c>
      <c r="D1235" t="s">
        <v>12</v>
      </c>
      <c r="E1235" t="s">
        <v>2734</v>
      </c>
      <c r="F1235" t="s">
        <v>2736</v>
      </c>
      <c r="G1235" t="s">
        <v>2737</v>
      </c>
    </row>
    <row r="1236" spans="1:8" x14ac:dyDescent="0.55000000000000004">
      <c r="A1236" t="str">
        <f t="shared" si="40"/>
        <v>30</v>
      </c>
      <c r="B1236" t="str">
        <f>"30.52"</f>
        <v>30.52</v>
      </c>
      <c r="C1236" t="s">
        <v>47</v>
      </c>
      <c r="D1236" t="s">
        <v>12</v>
      </c>
      <c r="E1236" t="s">
        <v>2738</v>
      </c>
      <c r="F1236" t="s">
        <v>2739</v>
      </c>
    </row>
    <row r="1237" spans="1:8" x14ac:dyDescent="0.55000000000000004">
      <c r="A1237" t="str">
        <f t="shared" si="40"/>
        <v>30</v>
      </c>
      <c r="B1237" t="str">
        <f>"30.5201"</f>
        <v>30.5201</v>
      </c>
      <c r="C1237" t="s">
        <v>47</v>
      </c>
      <c r="D1237" t="s">
        <v>12</v>
      </c>
      <c r="E1237" t="s">
        <v>2740</v>
      </c>
      <c r="F1237" t="s">
        <v>2741</v>
      </c>
    </row>
    <row r="1238" spans="1:8" x14ac:dyDescent="0.55000000000000004">
      <c r="A1238" t="str">
        <f t="shared" si="40"/>
        <v>30</v>
      </c>
      <c r="B1238" t="str">
        <f>"30.5202"</f>
        <v>30.5202</v>
      </c>
      <c r="C1238" t="s">
        <v>47</v>
      </c>
      <c r="D1238" t="s">
        <v>12</v>
      </c>
      <c r="E1238" t="s">
        <v>2742</v>
      </c>
      <c r="F1238" t="s">
        <v>2743</v>
      </c>
    </row>
    <row r="1239" spans="1:8" x14ac:dyDescent="0.55000000000000004">
      <c r="A1239" t="str">
        <f t="shared" si="40"/>
        <v>30</v>
      </c>
      <c r="B1239" t="str">
        <f>"30.5203"</f>
        <v>30.5203</v>
      </c>
      <c r="C1239" t="s">
        <v>47</v>
      </c>
      <c r="D1239" t="s">
        <v>12</v>
      </c>
      <c r="E1239" t="s">
        <v>2744</v>
      </c>
      <c r="F1239" t="s">
        <v>2745</v>
      </c>
    </row>
    <row r="1240" spans="1:8" x14ac:dyDescent="0.55000000000000004">
      <c r="A1240" t="str">
        <f t="shared" si="40"/>
        <v>30</v>
      </c>
      <c r="B1240" t="str">
        <f>"30.5299"</f>
        <v>30.5299</v>
      </c>
      <c r="C1240" t="s">
        <v>47</v>
      </c>
      <c r="D1240" t="s">
        <v>12</v>
      </c>
      <c r="E1240" t="s">
        <v>2746</v>
      </c>
      <c r="F1240" t="s">
        <v>2747</v>
      </c>
    </row>
    <row r="1241" spans="1:8" x14ac:dyDescent="0.55000000000000004">
      <c r="A1241" t="str">
        <f t="shared" si="40"/>
        <v>30</v>
      </c>
      <c r="B1241" t="str">
        <f>"30.53"</f>
        <v>30.53</v>
      </c>
      <c r="C1241" t="s">
        <v>47</v>
      </c>
      <c r="D1241" t="s">
        <v>12</v>
      </c>
      <c r="E1241" t="s">
        <v>2748</v>
      </c>
      <c r="F1241" t="s">
        <v>2749</v>
      </c>
    </row>
    <row r="1242" spans="1:8" x14ac:dyDescent="0.55000000000000004">
      <c r="A1242" t="str">
        <f t="shared" si="40"/>
        <v>30</v>
      </c>
      <c r="B1242" t="str">
        <f>"30.5301"</f>
        <v>30.5301</v>
      </c>
      <c r="C1242" t="s">
        <v>47</v>
      </c>
      <c r="D1242" t="s">
        <v>12</v>
      </c>
      <c r="E1242" t="s">
        <v>2748</v>
      </c>
      <c r="F1242" t="s">
        <v>2750</v>
      </c>
    </row>
    <row r="1243" spans="1:8" x14ac:dyDescent="0.55000000000000004">
      <c r="A1243" t="str">
        <f t="shared" si="40"/>
        <v>30</v>
      </c>
      <c r="B1243" t="str">
        <f>"30.70"</f>
        <v>30.70</v>
      </c>
      <c r="C1243" t="s">
        <v>47</v>
      </c>
      <c r="D1243" t="s">
        <v>12</v>
      </c>
      <c r="E1243" t="s">
        <v>2751</v>
      </c>
      <c r="F1243" t="s">
        <v>2752</v>
      </c>
    </row>
    <row r="1244" spans="1:8" x14ac:dyDescent="0.55000000000000004">
      <c r="A1244" t="str">
        <f t="shared" si="40"/>
        <v>30</v>
      </c>
      <c r="B1244" t="str">
        <f>"30.7001"</f>
        <v>30.7001</v>
      </c>
      <c r="C1244" t="s">
        <v>47</v>
      </c>
      <c r="D1244" t="s">
        <v>12</v>
      </c>
      <c r="E1244" t="s">
        <v>2753</v>
      </c>
      <c r="F1244" t="s">
        <v>2754</v>
      </c>
    </row>
    <row r="1245" spans="1:8" x14ac:dyDescent="0.55000000000000004">
      <c r="A1245" t="str">
        <f t="shared" si="40"/>
        <v>30</v>
      </c>
      <c r="B1245" t="str">
        <f>"30.7099"</f>
        <v>30.7099</v>
      </c>
      <c r="C1245" t="s">
        <v>47</v>
      </c>
      <c r="D1245" t="s">
        <v>12</v>
      </c>
      <c r="E1245" t="s">
        <v>2755</v>
      </c>
      <c r="F1245" t="s">
        <v>2756</v>
      </c>
    </row>
    <row r="1246" spans="1:8" x14ac:dyDescent="0.55000000000000004">
      <c r="A1246" t="str">
        <f t="shared" si="40"/>
        <v>30</v>
      </c>
      <c r="B1246" t="str">
        <f>"30.71"</f>
        <v>30.71</v>
      </c>
      <c r="C1246" t="s">
        <v>47</v>
      </c>
      <c r="D1246" t="s">
        <v>12</v>
      </c>
      <c r="E1246" t="s">
        <v>2757</v>
      </c>
      <c r="F1246" t="s">
        <v>2758</v>
      </c>
    </row>
    <row r="1247" spans="1:8" x14ac:dyDescent="0.55000000000000004">
      <c r="A1247" t="str">
        <f t="shared" si="40"/>
        <v>30</v>
      </c>
      <c r="B1247" t="str">
        <f>"30.7101"</f>
        <v>30.7101</v>
      </c>
      <c r="C1247" t="s">
        <v>47</v>
      </c>
      <c r="D1247" t="s">
        <v>12</v>
      </c>
      <c r="E1247" t="s">
        <v>2759</v>
      </c>
      <c r="F1247" t="s">
        <v>2760</v>
      </c>
    </row>
    <row r="1248" spans="1:8" x14ac:dyDescent="0.55000000000000004">
      <c r="A1248" t="str">
        <f t="shared" si="40"/>
        <v>30</v>
      </c>
      <c r="B1248" t="str">
        <f>"30.7102"</f>
        <v>30.7102</v>
      </c>
      <c r="C1248" t="s">
        <v>47</v>
      </c>
      <c r="D1248" t="s">
        <v>12</v>
      </c>
      <c r="E1248" t="s">
        <v>2761</v>
      </c>
      <c r="F1248" t="s">
        <v>2762</v>
      </c>
      <c r="G1248" t="s">
        <v>2763</v>
      </c>
      <c r="H1248" t="s">
        <v>2764</v>
      </c>
    </row>
    <row r="1249" spans="1:8" x14ac:dyDescent="0.55000000000000004">
      <c r="A1249" t="str">
        <f t="shared" si="40"/>
        <v>30</v>
      </c>
      <c r="B1249" t="str">
        <f>"30.7103"</f>
        <v>30.7103</v>
      </c>
      <c r="C1249" t="s">
        <v>47</v>
      </c>
      <c r="D1249" t="s">
        <v>12</v>
      </c>
      <c r="E1249" t="s">
        <v>2765</v>
      </c>
      <c r="F1249" t="s">
        <v>2766</v>
      </c>
      <c r="H1249" t="s">
        <v>2767</v>
      </c>
    </row>
    <row r="1250" spans="1:8" x14ac:dyDescent="0.55000000000000004">
      <c r="A1250" t="str">
        <f t="shared" si="40"/>
        <v>30</v>
      </c>
      <c r="B1250" t="str">
        <f>"30.7104"</f>
        <v>30.7104</v>
      </c>
      <c r="C1250" t="s">
        <v>47</v>
      </c>
      <c r="D1250" t="s">
        <v>12</v>
      </c>
      <c r="E1250" t="s">
        <v>2768</v>
      </c>
      <c r="F1250" t="s">
        <v>2769</v>
      </c>
    </row>
    <row r="1251" spans="1:8" x14ac:dyDescent="0.55000000000000004">
      <c r="A1251" t="str">
        <f t="shared" si="40"/>
        <v>30</v>
      </c>
      <c r="B1251" t="str">
        <f>"30.7199"</f>
        <v>30.7199</v>
      </c>
      <c r="C1251" t="s">
        <v>47</v>
      </c>
      <c r="D1251" t="s">
        <v>12</v>
      </c>
      <c r="E1251" t="s">
        <v>2770</v>
      </c>
      <c r="F1251" t="s">
        <v>2771</v>
      </c>
      <c r="H1251" t="s">
        <v>2772</v>
      </c>
    </row>
    <row r="1252" spans="1:8" x14ac:dyDescent="0.55000000000000004">
      <c r="A1252" t="str">
        <f t="shared" si="40"/>
        <v>30</v>
      </c>
      <c r="B1252" t="str">
        <f>"30.99"</f>
        <v>30.99</v>
      </c>
      <c r="C1252" t="s">
        <v>8</v>
      </c>
      <c r="D1252" t="s">
        <v>12</v>
      </c>
      <c r="E1252" t="s">
        <v>2773</v>
      </c>
      <c r="F1252" t="s">
        <v>2774</v>
      </c>
    </row>
    <row r="1253" spans="1:8" x14ac:dyDescent="0.55000000000000004">
      <c r="A1253" t="str">
        <f t="shared" si="40"/>
        <v>30</v>
      </c>
      <c r="B1253" t="str">
        <f>"30.9999"</f>
        <v>30.9999</v>
      </c>
      <c r="C1253" t="s">
        <v>8</v>
      </c>
      <c r="D1253" t="s">
        <v>12</v>
      </c>
      <c r="E1253" t="s">
        <v>2775</v>
      </c>
      <c r="F1253" t="s">
        <v>2776</v>
      </c>
    </row>
    <row r="1254" spans="1:8" x14ac:dyDescent="0.55000000000000004">
      <c r="A1254" t="str">
        <f>"31"</f>
        <v>31</v>
      </c>
      <c r="B1254" t="str">
        <f>"31"</f>
        <v>31</v>
      </c>
      <c r="C1254" t="s">
        <v>8</v>
      </c>
      <c r="D1254" t="s">
        <v>9</v>
      </c>
      <c r="E1254" t="s">
        <v>2777</v>
      </c>
      <c r="F1254" t="s">
        <v>2778</v>
      </c>
    </row>
    <row r="1255" spans="1:8" x14ac:dyDescent="0.55000000000000004">
      <c r="A1255" t="str">
        <f t="shared" ref="A1255:A1271" si="41">"31"</f>
        <v>31</v>
      </c>
      <c r="B1255" t="str">
        <f>"31.01"</f>
        <v>31.01</v>
      </c>
      <c r="C1255" t="s">
        <v>8</v>
      </c>
      <c r="D1255" t="s">
        <v>12</v>
      </c>
      <c r="E1255" t="s">
        <v>2779</v>
      </c>
      <c r="F1255" t="s">
        <v>2780</v>
      </c>
    </row>
    <row r="1256" spans="1:8" x14ac:dyDescent="0.55000000000000004">
      <c r="A1256" t="str">
        <f t="shared" si="41"/>
        <v>31</v>
      </c>
      <c r="B1256" t="str">
        <f>"31.0101"</f>
        <v>31.0101</v>
      </c>
      <c r="C1256" t="s">
        <v>8</v>
      </c>
      <c r="D1256" t="s">
        <v>12</v>
      </c>
      <c r="E1256" t="s">
        <v>2779</v>
      </c>
      <c r="F1256" t="s">
        <v>2781</v>
      </c>
    </row>
    <row r="1257" spans="1:8" x14ac:dyDescent="0.55000000000000004">
      <c r="A1257" t="str">
        <f t="shared" si="41"/>
        <v>31</v>
      </c>
      <c r="B1257" t="str">
        <f>"31.03"</f>
        <v>31.03</v>
      </c>
      <c r="C1257" t="s">
        <v>8</v>
      </c>
      <c r="D1257" t="s">
        <v>12</v>
      </c>
      <c r="E1257" t="s">
        <v>2782</v>
      </c>
      <c r="F1257" t="s">
        <v>2783</v>
      </c>
    </row>
    <row r="1258" spans="1:8" x14ac:dyDescent="0.55000000000000004">
      <c r="A1258" t="str">
        <f t="shared" si="41"/>
        <v>31</v>
      </c>
      <c r="B1258" t="str">
        <f>"31.0301"</f>
        <v>31.0301</v>
      </c>
      <c r="C1258" t="s">
        <v>8</v>
      </c>
      <c r="D1258" t="s">
        <v>12</v>
      </c>
      <c r="E1258" t="s">
        <v>2784</v>
      </c>
      <c r="F1258" t="s">
        <v>2785</v>
      </c>
      <c r="G1258" t="s">
        <v>2786</v>
      </c>
    </row>
    <row r="1259" spans="1:8" x14ac:dyDescent="0.55000000000000004">
      <c r="A1259" t="str">
        <f t="shared" si="41"/>
        <v>31</v>
      </c>
      <c r="B1259" t="str">
        <f>"31.0302"</f>
        <v>31.0302</v>
      </c>
      <c r="C1259" t="s">
        <v>8</v>
      </c>
      <c r="D1259" t="s">
        <v>12</v>
      </c>
      <c r="E1259" t="s">
        <v>2787</v>
      </c>
      <c r="F1259" t="s">
        <v>2788</v>
      </c>
    </row>
    <row r="1260" spans="1:8" x14ac:dyDescent="0.55000000000000004">
      <c r="A1260" t="str">
        <f t="shared" si="41"/>
        <v>31</v>
      </c>
      <c r="B1260" t="str">
        <f>"31.0399"</f>
        <v>31.0399</v>
      </c>
      <c r="C1260" t="s">
        <v>8</v>
      </c>
      <c r="D1260" t="s">
        <v>12</v>
      </c>
      <c r="E1260" t="s">
        <v>2789</v>
      </c>
      <c r="F1260" t="s">
        <v>2790</v>
      </c>
    </row>
    <row r="1261" spans="1:8" x14ac:dyDescent="0.55000000000000004">
      <c r="A1261" t="str">
        <f t="shared" si="41"/>
        <v>31</v>
      </c>
      <c r="B1261" t="str">
        <f>"31.05"</f>
        <v>31.05</v>
      </c>
      <c r="C1261" t="s">
        <v>8</v>
      </c>
      <c r="D1261" t="s">
        <v>9</v>
      </c>
      <c r="E1261" t="s">
        <v>2791</v>
      </c>
      <c r="F1261" t="s">
        <v>2792</v>
      </c>
    </row>
    <row r="1262" spans="1:8" x14ac:dyDescent="0.55000000000000004">
      <c r="A1262" t="str">
        <f t="shared" si="41"/>
        <v>31</v>
      </c>
      <c r="B1262" t="str">
        <f>"31.0501"</f>
        <v>31.0501</v>
      </c>
      <c r="C1262" t="s">
        <v>8</v>
      </c>
      <c r="D1262" t="s">
        <v>9</v>
      </c>
      <c r="E1262" t="s">
        <v>2793</v>
      </c>
      <c r="F1262" t="s">
        <v>2794</v>
      </c>
      <c r="G1262" t="s">
        <v>2795</v>
      </c>
      <c r="H1262" t="s">
        <v>2796</v>
      </c>
    </row>
    <row r="1263" spans="1:8" x14ac:dyDescent="0.55000000000000004">
      <c r="A1263" t="str">
        <f t="shared" si="41"/>
        <v>31</v>
      </c>
      <c r="B1263" t="str">
        <f>"31.0504"</f>
        <v>31.0504</v>
      </c>
      <c r="C1263" t="s">
        <v>8</v>
      </c>
      <c r="D1263" t="s">
        <v>12</v>
      </c>
      <c r="E1263" t="s">
        <v>2797</v>
      </c>
      <c r="F1263" t="s">
        <v>2798</v>
      </c>
      <c r="G1263" t="s">
        <v>2799</v>
      </c>
    </row>
    <row r="1264" spans="1:8" x14ac:dyDescent="0.55000000000000004">
      <c r="A1264" t="str">
        <f t="shared" si="41"/>
        <v>31</v>
      </c>
      <c r="B1264" t="str">
        <f>"31.0505"</f>
        <v>31.0505</v>
      </c>
      <c r="C1264" t="s">
        <v>8</v>
      </c>
      <c r="D1264" t="s">
        <v>9</v>
      </c>
      <c r="E1264" t="s">
        <v>2800</v>
      </c>
      <c r="F1264" t="s">
        <v>2801</v>
      </c>
      <c r="G1264" t="s">
        <v>2802</v>
      </c>
    </row>
    <row r="1265" spans="1:8" x14ac:dyDescent="0.55000000000000004">
      <c r="A1265" t="str">
        <f t="shared" si="41"/>
        <v>31</v>
      </c>
      <c r="B1265" t="str">
        <f>"31.0507"</f>
        <v>31.0507</v>
      </c>
      <c r="C1265" t="s">
        <v>8</v>
      </c>
      <c r="D1265" t="s">
        <v>12</v>
      </c>
      <c r="E1265" t="s">
        <v>2803</v>
      </c>
      <c r="F1265" t="s">
        <v>2804</v>
      </c>
      <c r="G1265" t="s">
        <v>2805</v>
      </c>
      <c r="H1265" t="s">
        <v>2806</v>
      </c>
    </row>
    <row r="1266" spans="1:8" x14ac:dyDescent="0.55000000000000004">
      <c r="A1266" t="str">
        <f t="shared" si="41"/>
        <v>31</v>
      </c>
      <c r="B1266" t="str">
        <f>"31.0508"</f>
        <v>31.0508</v>
      </c>
      <c r="C1266" t="s">
        <v>8</v>
      </c>
      <c r="D1266" t="s">
        <v>12</v>
      </c>
      <c r="E1266" t="s">
        <v>2807</v>
      </c>
      <c r="F1266" t="s">
        <v>2808</v>
      </c>
      <c r="G1266" t="s">
        <v>2809</v>
      </c>
      <c r="H1266" t="s">
        <v>2810</v>
      </c>
    </row>
    <row r="1267" spans="1:8" x14ac:dyDescent="0.55000000000000004">
      <c r="A1267" t="str">
        <f t="shared" si="41"/>
        <v>31</v>
      </c>
      <c r="B1267" t="str">
        <f>"31.0599"</f>
        <v>31.0599</v>
      </c>
      <c r="C1267" t="s">
        <v>8</v>
      </c>
      <c r="D1267" t="s">
        <v>9</v>
      </c>
      <c r="E1267" t="s">
        <v>2811</v>
      </c>
      <c r="F1267" t="s">
        <v>2812</v>
      </c>
    </row>
    <row r="1268" spans="1:8" x14ac:dyDescent="0.55000000000000004">
      <c r="A1268" t="str">
        <f t="shared" si="41"/>
        <v>31</v>
      </c>
      <c r="B1268" t="str">
        <f>"31.06"</f>
        <v>31.06</v>
      </c>
      <c r="C1268" t="s">
        <v>8</v>
      </c>
      <c r="D1268" t="s">
        <v>12</v>
      </c>
      <c r="E1268" t="s">
        <v>2813</v>
      </c>
      <c r="F1268" t="s">
        <v>2814</v>
      </c>
    </row>
    <row r="1269" spans="1:8" x14ac:dyDescent="0.55000000000000004">
      <c r="A1269" t="str">
        <f t="shared" si="41"/>
        <v>31</v>
      </c>
      <c r="B1269" t="str">
        <f>"31.0601"</f>
        <v>31.0601</v>
      </c>
      <c r="C1269" t="s">
        <v>8</v>
      </c>
      <c r="D1269" t="s">
        <v>12</v>
      </c>
      <c r="E1269" t="s">
        <v>2813</v>
      </c>
      <c r="F1269" t="s">
        <v>2815</v>
      </c>
      <c r="G1269" t="s">
        <v>2816</v>
      </c>
    </row>
    <row r="1270" spans="1:8" x14ac:dyDescent="0.55000000000000004">
      <c r="A1270" t="str">
        <f t="shared" si="41"/>
        <v>31</v>
      </c>
      <c r="B1270" t="str">
        <f>"31.99"</f>
        <v>31.99</v>
      </c>
      <c r="C1270" t="s">
        <v>8</v>
      </c>
      <c r="D1270" t="s">
        <v>9</v>
      </c>
      <c r="E1270" t="s">
        <v>2817</v>
      </c>
      <c r="F1270" t="s">
        <v>2818</v>
      </c>
    </row>
    <row r="1271" spans="1:8" x14ac:dyDescent="0.55000000000000004">
      <c r="A1271" t="str">
        <f t="shared" si="41"/>
        <v>31</v>
      </c>
      <c r="B1271" t="str">
        <f>"31.9999"</f>
        <v>31.9999</v>
      </c>
      <c r="C1271" t="s">
        <v>8</v>
      </c>
      <c r="D1271" t="s">
        <v>9</v>
      </c>
      <c r="E1271" t="s">
        <v>2817</v>
      </c>
      <c r="F1271" t="s">
        <v>2819</v>
      </c>
    </row>
    <row r="1272" spans="1:8" x14ac:dyDescent="0.55000000000000004">
      <c r="A1272" t="str">
        <f>"32"</f>
        <v>32</v>
      </c>
      <c r="B1272" t="str">
        <f>"32"</f>
        <v>32</v>
      </c>
      <c r="C1272" t="s">
        <v>8</v>
      </c>
      <c r="D1272" t="s">
        <v>12</v>
      </c>
      <c r="E1272" t="s">
        <v>2820</v>
      </c>
      <c r="F1272" t="s">
        <v>2821</v>
      </c>
    </row>
    <row r="1273" spans="1:8" x14ac:dyDescent="0.55000000000000004">
      <c r="A1273" t="str">
        <f t="shared" ref="A1273:A1290" si="42">"32"</f>
        <v>32</v>
      </c>
      <c r="B1273" t="str">
        <f>"32.01"</f>
        <v>32.01</v>
      </c>
      <c r="C1273" t="s">
        <v>8</v>
      </c>
      <c r="D1273" t="s">
        <v>12</v>
      </c>
      <c r="E1273" t="s">
        <v>2822</v>
      </c>
      <c r="F1273" t="s">
        <v>2823</v>
      </c>
    </row>
    <row r="1274" spans="1:8" x14ac:dyDescent="0.55000000000000004">
      <c r="A1274" t="str">
        <f t="shared" si="42"/>
        <v>32</v>
      </c>
      <c r="B1274" t="str">
        <f>"32.0101"</f>
        <v>32.0101</v>
      </c>
      <c r="C1274" t="s">
        <v>8</v>
      </c>
      <c r="D1274" t="s">
        <v>12</v>
      </c>
      <c r="E1274" t="s">
        <v>2824</v>
      </c>
      <c r="F1274" t="s">
        <v>2825</v>
      </c>
      <c r="H1274" t="s">
        <v>2826</v>
      </c>
    </row>
    <row r="1275" spans="1:8" x14ac:dyDescent="0.55000000000000004">
      <c r="A1275" t="str">
        <f t="shared" si="42"/>
        <v>32</v>
      </c>
      <c r="B1275" t="str">
        <f>"32.0104"</f>
        <v>32.0104</v>
      </c>
      <c r="C1275" t="s">
        <v>8</v>
      </c>
      <c r="D1275" t="s">
        <v>12</v>
      </c>
      <c r="E1275" t="s">
        <v>2827</v>
      </c>
      <c r="F1275" t="s">
        <v>2828</v>
      </c>
      <c r="H1275" t="s">
        <v>2829</v>
      </c>
    </row>
    <row r="1276" spans="1:8" x14ac:dyDescent="0.55000000000000004">
      <c r="A1276" t="str">
        <f t="shared" si="42"/>
        <v>32</v>
      </c>
      <c r="B1276" t="str">
        <f>"32.0105"</f>
        <v>32.0105</v>
      </c>
      <c r="C1276" t="s">
        <v>8</v>
      </c>
      <c r="D1276" t="s">
        <v>12</v>
      </c>
      <c r="E1276" t="s">
        <v>2830</v>
      </c>
      <c r="F1276" t="s">
        <v>2831</v>
      </c>
    </row>
    <row r="1277" spans="1:8" x14ac:dyDescent="0.55000000000000004">
      <c r="A1277" t="str">
        <f t="shared" si="42"/>
        <v>32</v>
      </c>
      <c r="B1277" t="str">
        <f>"32.0107"</f>
        <v>32.0107</v>
      </c>
      <c r="C1277" t="s">
        <v>8</v>
      </c>
      <c r="D1277" t="s">
        <v>12</v>
      </c>
      <c r="E1277" t="s">
        <v>2832</v>
      </c>
      <c r="F1277" t="s">
        <v>2833</v>
      </c>
    </row>
    <row r="1278" spans="1:8" x14ac:dyDescent="0.55000000000000004">
      <c r="A1278" t="str">
        <f t="shared" si="42"/>
        <v>32</v>
      </c>
      <c r="B1278" t="str">
        <f>"32.0108"</f>
        <v>32.0108</v>
      </c>
      <c r="C1278" t="s">
        <v>8</v>
      </c>
      <c r="D1278" t="s">
        <v>12</v>
      </c>
      <c r="E1278" t="s">
        <v>2834</v>
      </c>
      <c r="F1278" t="s">
        <v>2835</v>
      </c>
      <c r="H1278" t="s">
        <v>2836</v>
      </c>
    </row>
    <row r="1279" spans="1:8" x14ac:dyDescent="0.55000000000000004">
      <c r="A1279" t="str">
        <f t="shared" si="42"/>
        <v>32</v>
      </c>
      <c r="B1279" t="str">
        <f>"32.0109"</f>
        <v>32.0109</v>
      </c>
      <c r="C1279" t="s">
        <v>8</v>
      </c>
      <c r="D1279" t="s">
        <v>12</v>
      </c>
      <c r="E1279" t="s">
        <v>1784</v>
      </c>
      <c r="F1279" t="s">
        <v>2837</v>
      </c>
      <c r="H1279" t="s">
        <v>2838</v>
      </c>
    </row>
    <row r="1280" spans="1:8" x14ac:dyDescent="0.55000000000000004">
      <c r="A1280" t="str">
        <f t="shared" si="42"/>
        <v>32</v>
      </c>
      <c r="B1280" t="str">
        <f>"32.0110"</f>
        <v>32.0110</v>
      </c>
      <c r="C1280" t="s">
        <v>8</v>
      </c>
      <c r="D1280" t="s">
        <v>12</v>
      </c>
      <c r="E1280" t="s">
        <v>2839</v>
      </c>
      <c r="F1280" t="s">
        <v>2840</v>
      </c>
      <c r="H1280" t="s">
        <v>2841</v>
      </c>
    </row>
    <row r="1281" spans="1:8" x14ac:dyDescent="0.55000000000000004">
      <c r="A1281" t="str">
        <f t="shared" si="42"/>
        <v>32</v>
      </c>
      <c r="B1281" t="str">
        <f>"32.0111"</f>
        <v>32.0111</v>
      </c>
      <c r="C1281" t="s">
        <v>8</v>
      </c>
      <c r="D1281" t="s">
        <v>12</v>
      </c>
      <c r="E1281" t="s">
        <v>2842</v>
      </c>
      <c r="F1281" t="s">
        <v>2843</v>
      </c>
    </row>
    <row r="1282" spans="1:8" x14ac:dyDescent="0.55000000000000004">
      <c r="A1282" t="str">
        <f t="shared" si="42"/>
        <v>32</v>
      </c>
      <c r="B1282" t="str">
        <f>"32.0112"</f>
        <v>32.0112</v>
      </c>
      <c r="C1282" t="s">
        <v>47</v>
      </c>
      <c r="D1282" t="s">
        <v>12</v>
      </c>
      <c r="E1282" t="s">
        <v>2844</v>
      </c>
      <c r="F1282" t="s">
        <v>2845</v>
      </c>
    </row>
    <row r="1283" spans="1:8" x14ac:dyDescent="0.55000000000000004">
      <c r="A1283" t="str">
        <f t="shared" si="42"/>
        <v>32</v>
      </c>
      <c r="B1283" t="str">
        <f>"32.0199"</f>
        <v>32.0199</v>
      </c>
      <c r="C1283" t="s">
        <v>8</v>
      </c>
      <c r="D1283" t="s">
        <v>12</v>
      </c>
      <c r="E1283" t="s">
        <v>2846</v>
      </c>
      <c r="F1283" t="s">
        <v>2847</v>
      </c>
    </row>
    <row r="1284" spans="1:8" x14ac:dyDescent="0.55000000000000004">
      <c r="A1284" t="str">
        <f t="shared" si="42"/>
        <v>32</v>
      </c>
      <c r="B1284" t="str">
        <f>"32.02"</f>
        <v>32.02</v>
      </c>
      <c r="C1284" t="s">
        <v>47</v>
      </c>
      <c r="D1284" t="s">
        <v>12</v>
      </c>
      <c r="E1284" t="s">
        <v>2848</v>
      </c>
      <c r="F1284" t="s">
        <v>2849</v>
      </c>
    </row>
    <row r="1285" spans="1:8" x14ac:dyDescent="0.55000000000000004">
      <c r="A1285" t="str">
        <f t="shared" si="42"/>
        <v>32</v>
      </c>
      <c r="B1285" t="str">
        <f>"32.0201"</f>
        <v>32.0201</v>
      </c>
      <c r="C1285" t="s">
        <v>47</v>
      </c>
      <c r="D1285" t="s">
        <v>12</v>
      </c>
      <c r="E1285" t="s">
        <v>2850</v>
      </c>
      <c r="F1285" t="s">
        <v>2851</v>
      </c>
    </row>
    <row r="1286" spans="1:8" x14ac:dyDescent="0.55000000000000004">
      <c r="A1286" t="str">
        <f t="shared" si="42"/>
        <v>32</v>
      </c>
      <c r="B1286" t="str">
        <f>"32.0202"</f>
        <v>32.0202</v>
      </c>
      <c r="C1286" t="s">
        <v>47</v>
      </c>
      <c r="D1286" t="s">
        <v>12</v>
      </c>
      <c r="E1286" t="s">
        <v>2852</v>
      </c>
      <c r="F1286" t="s">
        <v>2853</v>
      </c>
      <c r="G1286" t="s">
        <v>2854</v>
      </c>
      <c r="H1286" t="s">
        <v>2855</v>
      </c>
    </row>
    <row r="1287" spans="1:8" x14ac:dyDescent="0.55000000000000004">
      <c r="A1287" t="str">
        <f t="shared" si="42"/>
        <v>32</v>
      </c>
      <c r="B1287" t="str">
        <f>"32.0203"</f>
        <v>32.0203</v>
      </c>
      <c r="C1287" t="s">
        <v>47</v>
      </c>
      <c r="D1287" t="s">
        <v>12</v>
      </c>
      <c r="E1287" t="s">
        <v>2856</v>
      </c>
      <c r="F1287" t="s">
        <v>2857</v>
      </c>
      <c r="H1287" t="s">
        <v>2858</v>
      </c>
    </row>
    <row r="1288" spans="1:8" x14ac:dyDescent="0.55000000000000004">
      <c r="A1288" t="str">
        <f t="shared" si="42"/>
        <v>32</v>
      </c>
      <c r="B1288" t="str">
        <f>"32.0204"</f>
        <v>32.0204</v>
      </c>
      <c r="C1288" t="s">
        <v>47</v>
      </c>
      <c r="D1288" t="s">
        <v>12</v>
      </c>
      <c r="E1288" t="s">
        <v>2859</v>
      </c>
      <c r="F1288" t="s">
        <v>2860</v>
      </c>
      <c r="H1288" t="s">
        <v>2861</v>
      </c>
    </row>
    <row r="1289" spans="1:8" x14ac:dyDescent="0.55000000000000004">
      <c r="A1289" t="str">
        <f t="shared" si="42"/>
        <v>32</v>
      </c>
      <c r="B1289" t="str">
        <f>"32.0205"</f>
        <v>32.0205</v>
      </c>
      <c r="C1289" t="s">
        <v>47</v>
      </c>
      <c r="D1289" t="s">
        <v>12</v>
      </c>
      <c r="E1289" t="s">
        <v>2862</v>
      </c>
      <c r="F1289" t="s">
        <v>2863</v>
      </c>
      <c r="H1289" t="s">
        <v>2864</v>
      </c>
    </row>
    <row r="1290" spans="1:8" x14ac:dyDescent="0.55000000000000004">
      <c r="A1290" t="str">
        <f t="shared" si="42"/>
        <v>32</v>
      </c>
      <c r="B1290" t="str">
        <f>"32.0299"</f>
        <v>32.0299</v>
      </c>
      <c r="C1290" t="s">
        <v>47</v>
      </c>
      <c r="D1290" t="s">
        <v>12</v>
      </c>
      <c r="E1290" t="s">
        <v>2865</v>
      </c>
      <c r="F1290" t="s">
        <v>2866</v>
      </c>
    </row>
    <row r="1291" spans="1:8" x14ac:dyDescent="0.55000000000000004">
      <c r="A1291" t="str">
        <f>"33"</f>
        <v>33</v>
      </c>
      <c r="B1291" t="str">
        <f>"33"</f>
        <v>33</v>
      </c>
      <c r="C1291" t="s">
        <v>8</v>
      </c>
      <c r="D1291" t="s">
        <v>12</v>
      </c>
      <c r="E1291" t="s">
        <v>2867</v>
      </c>
      <c r="F1291" t="s">
        <v>2868</v>
      </c>
    </row>
    <row r="1292" spans="1:8" x14ac:dyDescent="0.55000000000000004">
      <c r="A1292" t="str">
        <f t="shared" ref="A1292:A1299" si="43">"33"</f>
        <v>33</v>
      </c>
      <c r="B1292" t="str">
        <f>"33.01"</f>
        <v>33.01</v>
      </c>
      <c r="C1292" t="s">
        <v>8</v>
      </c>
      <c r="D1292" t="s">
        <v>12</v>
      </c>
      <c r="E1292" t="s">
        <v>2869</v>
      </c>
      <c r="F1292" t="s">
        <v>2870</v>
      </c>
    </row>
    <row r="1293" spans="1:8" x14ac:dyDescent="0.55000000000000004">
      <c r="A1293" t="str">
        <f t="shared" si="43"/>
        <v>33</v>
      </c>
      <c r="B1293" t="str">
        <f>"33.0101"</f>
        <v>33.0101</v>
      </c>
      <c r="C1293" t="s">
        <v>8</v>
      </c>
      <c r="D1293" t="s">
        <v>12</v>
      </c>
      <c r="E1293" t="s">
        <v>2871</v>
      </c>
      <c r="F1293" t="s">
        <v>2872</v>
      </c>
    </row>
    <row r="1294" spans="1:8" x14ac:dyDescent="0.55000000000000004">
      <c r="A1294" t="str">
        <f t="shared" si="43"/>
        <v>33</v>
      </c>
      <c r="B1294" t="str">
        <f>"33.0102"</f>
        <v>33.0102</v>
      </c>
      <c r="C1294" t="s">
        <v>8</v>
      </c>
      <c r="D1294" t="s">
        <v>12</v>
      </c>
      <c r="E1294" t="s">
        <v>2873</v>
      </c>
      <c r="F1294" t="s">
        <v>2874</v>
      </c>
    </row>
    <row r="1295" spans="1:8" x14ac:dyDescent="0.55000000000000004">
      <c r="A1295" t="str">
        <f t="shared" si="43"/>
        <v>33</v>
      </c>
      <c r="B1295" t="str">
        <f>"33.0103"</f>
        <v>33.0103</v>
      </c>
      <c r="C1295" t="s">
        <v>8</v>
      </c>
      <c r="D1295" t="s">
        <v>12</v>
      </c>
      <c r="E1295" t="s">
        <v>2875</v>
      </c>
      <c r="F1295" t="s">
        <v>2876</v>
      </c>
    </row>
    <row r="1296" spans="1:8" x14ac:dyDescent="0.55000000000000004">
      <c r="A1296" t="str">
        <f t="shared" si="43"/>
        <v>33</v>
      </c>
      <c r="B1296" t="str">
        <f>"33.0104"</f>
        <v>33.0104</v>
      </c>
      <c r="C1296" t="s">
        <v>8</v>
      </c>
      <c r="D1296" t="s">
        <v>12</v>
      </c>
      <c r="E1296" t="s">
        <v>2877</v>
      </c>
      <c r="F1296" t="s">
        <v>2878</v>
      </c>
    </row>
    <row r="1297" spans="1:8" x14ac:dyDescent="0.55000000000000004">
      <c r="A1297" t="str">
        <f t="shared" si="43"/>
        <v>33</v>
      </c>
      <c r="B1297" t="str">
        <f>"33.0105"</f>
        <v>33.0105</v>
      </c>
      <c r="C1297" t="s">
        <v>8</v>
      </c>
      <c r="D1297" t="s">
        <v>12</v>
      </c>
      <c r="E1297" t="s">
        <v>2879</v>
      </c>
      <c r="F1297" t="s">
        <v>2880</v>
      </c>
    </row>
    <row r="1298" spans="1:8" x14ac:dyDescent="0.55000000000000004">
      <c r="A1298" t="str">
        <f t="shared" si="43"/>
        <v>33</v>
      </c>
      <c r="B1298" t="str">
        <f>"33.0106"</f>
        <v>33.0106</v>
      </c>
      <c r="C1298" t="s">
        <v>47</v>
      </c>
      <c r="D1298" t="s">
        <v>12</v>
      </c>
      <c r="E1298" t="s">
        <v>2881</v>
      </c>
      <c r="F1298" t="s">
        <v>2882</v>
      </c>
    </row>
    <row r="1299" spans="1:8" x14ac:dyDescent="0.55000000000000004">
      <c r="A1299" t="str">
        <f t="shared" si="43"/>
        <v>33</v>
      </c>
      <c r="B1299" t="str">
        <f>"33.0199"</f>
        <v>33.0199</v>
      </c>
      <c r="C1299" t="s">
        <v>8</v>
      </c>
      <c r="D1299" t="s">
        <v>12</v>
      </c>
      <c r="E1299" t="s">
        <v>2883</v>
      </c>
      <c r="F1299" t="s">
        <v>2884</v>
      </c>
    </row>
    <row r="1300" spans="1:8" x14ac:dyDescent="0.55000000000000004">
      <c r="A1300" t="str">
        <f>"34"</f>
        <v>34</v>
      </c>
      <c r="B1300" t="str">
        <f>"34"</f>
        <v>34</v>
      </c>
      <c r="C1300" t="s">
        <v>8</v>
      </c>
      <c r="D1300" t="s">
        <v>9</v>
      </c>
      <c r="E1300" t="s">
        <v>2885</v>
      </c>
      <c r="F1300" t="s">
        <v>2886</v>
      </c>
    </row>
    <row r="1301" spans="1:8" x14ac:dyDescent="0.55000000000000004">
      <c r="A1301" t="str">
        <f t="shared" ref="A1301:A1306" si="44">"34"</f>
        <v>34</v>
      </c>
      <c r="B1301" t="str">
        <f>"34.01"</f>
        <v>34.01</v>
      </c>
      <c r="C1301" t="s">
        <v>8</v>
      </c>
      <c r="D1301" t="s">
        <v>12</v>
      </c>
      <c r="E1301" t="s">
        <v>2887</v>
      </c>
      <c r="F1301" t="s">
        <v>2888</v>
      </c>
    </row>
    <row r="1302" spans="1:8" x14ac:dyDescent="0.55000000000000004">
      <c r="A1302" t="str">
        <f t="shared" si="44"/>
        <v>34</v>
      </c>
      <c r="B1302" t="str">
        <f>"34.0102"</f>
        <v>34.0102</v>
      </c>
      <c r="C1302" t="s">
        <v>8</v>
      </c>
      <c r="D1302" t="s">
        <v>12</v>
      </c>
      <c r="E1302" t="s">
        <v>2889</v>
      </c>
      <c r="F1302" t="s">
        <v>2890</v>
      </c>
    </row>
    <row r="1303" spans="1:8" x14ac:dyDescent="0.55000000000000004">
      <c r="A1303" t="str">
        <f t="shared" si="44"/>
        <v>34</v>
      </c>
      <c r="B1303" t="str">
        <f>"34.0103"</f>
        <v>34.0103</v>
      </c>
      <c r="C1303" t="s">
        <v>8</v>
      </c>
      <c r="D1303" t="s">
        <v>12</v>
      </c>
      <c r="E1303" t="s">
        <v>2891</v>
      </c>
      <c r="F1303" t="s">
        <v>2892</v>
      </c>
    </row>
    <row r="1304" spans="1:8" x14ac:dyDescent="0.55000000000000004">
      <c r="A1304" t="str">
        <f t="shared" si="44"/>
        <v>34</v>
      </c>
      <c r="B1304" t="str">
        <f>"34.0104"</f>
        <v>34.0104</v>
      </c>
      <c r="C1304" t="s">
        <v>8</v>
      </c>
      <c r="D1304" t="s">
        <v>12</v>
      </c>
      <c r="E1304" t="s">
        <v>2893</v>
      </c>
      <c r="F1304" t="s">
        <v>2894</v>
      </c>
    </row>
    <row r="1305" spans="1:8" x14ac:dyDescent="0.55000000000000004">
      <c r="A1305" t="str">
        <f t="shared" si="44"/>
        <v>34</v>
      </c>
      <c r="B1305" t="str">
        <f>"34.0105"</f>
        <v>34.0105</v>
      </c>
      <c r="C1305" t="s">
        <v>47</v>
      </c>
      <c r="D1305" t="s">
        <v>12</v>
      </c>
      <c r="E1305" t="s">
        <v>2895</v>
      </c>
      <c r="F1305" t="s">
        <v>2896</v>
      </c>
    </row>
    <row r="1306" spans="1:8" x14ac:dyDescent="0.55000000000000004">
      <c r="A1306" t="str">
        <f t="shared" si="44"/>
        <v>34</v>
      </c>
      <c r="B1306" t="str">
        <f>"34.0199"</f>
        <v>34.0199</v>
      </c>
      <c r="C1306" t="s">
        <v>8</v>
      </c>
      <c r="D1306" t="s">
        <v>12</v>
      </c>
      <c r="E1306" t="s">
        <v>2897</v>
      </c>
      <c r="F1306" t="s">
        <v>2898</v>
      </c>
      <c r="H1306" t="s">
        <v>2899</v>
      </c>
    </row>
    <row r="1307" spans="1:8" x14ac:dyDescent="0.55000000000000004">
      <c r="A1307" t="str">
        <f>"35"</f>
        <v>35</v>
      </c>
      <c r="B1307" t="str">
        <f>"35"</f>
        <v>35</v>
      </c>
      <c r="C1307" t="s">
        <v>8</v>
      </c>
      <c r="D1307" t="s">
        <v>12</v>
      </c>
      <c r="E1307" t="s">
        <v>2900</v>
      </c>
      <c r="F1307" t="s">
        <v>2901</v>
      </c>
    </row>
    <row r="1308" spans="1:8" x14ac:dyDescent="0.55000000000000004">
      <c r="A1308" t="str">
        <f t="shared" ref="A1308:A1313" si="45">"35"</f>
        <v>35</v>
      </c>
      <c r="B1308" t="str">
        <f>"35.01"</f>
        <v>35.01</v>
      </c>
      <c r="C1308" t="s">
        <v>8</v>
      </c>
      <c r="D1308" t="s">
        <v>12</v>
      </c>
      <c r="E1308" t="s">
        <v>2902</v>
      </c>
      <c r="F1308" t="s">
        <v>2903</v>
      </c>
    </row>
    <row r="1309" spans="1:8" x14ac:dyDescent="0.55000000000000004">
      <c r="A1309" t="str">
        <f t="shared" si="45"/>
        <v>35</v>
      </c>
      <c r="B1309" t="str">
        <f>"35.0101"</f>
        <v>35.0101</v>
      </c>
      <c r="C1309" t="s">
        <v>8</v>
      </c>
      <c r="D1309" t="s">
        <v>12</v>
      </c>
      <c r="E1309" t="s">
        <v>2904</v>
      </c>
      <c r="F1309" t="s">
        <v>2905</v>
      </c>
    </row>
    <row r="1310" spans="1:8" x14ac:dyDescent="0.55000000000000004">
      <c r="A1310" t="str">
        <f t="shared" si="45"/>
        <v>35</v>
      </c>
      <c r="B1310" t="str">
        <f>"35.0102"</f>
        <v>35.0102</v>
      </c>
      <c r="C1310" t="s">
        <v>8</v>
      </c>
      <c r="D1310" t="s">
        <v>12</v>
      </c>
      <c r="E1310" t="s">
        <v>2906</v>
      </c>
      <c r="F1310" t="s">
        <v>2907</v>
      </c>
    </row>
    <row r="1311" spans="1:8" x14ac:dyDescent="0.55000000000000004">
      <c r="A1311" t="str">
        <f t="shared" si="45"/>
        <v>35</v>
      </c>
      <c r="B1311" t="str">
        <f>"35.0103"</f>
        <v>35.0103</v>
      </c>
      <c r="C1311" t="s">
        <v>8</v>
      </c>
      <c r="D1311" t="s">
        <v>12</v>
      </c>
      <c r="E1311" t="s">
        <v>2908</v>
      </c>
      <c r="F1311" t="s">
        <v>2909</v>
      </c>
    </row>
    <row r="1312" spans="1:8" x14ac:dyDescent="0.55000000000000004">
      <c r="A1312" t="str">
        <f t="shared" si="45"/>
        <v>35</v>
      </c>
      <c r="B1312" t="str">
        <f>"35.0105"</f>
        <v>35.0105</v>
      </c>
      <c r="C1312" t="s">
        <v>47</v>
      </c>
      <c r="D1312" t="s">
        <v>12</v>
      </c>
      <c r="E1312" t="s">
        <v>2910</v>
      </c>
      <c r="F1312" t="s">
        <v>2911</v>
      </c>
    </row>
    <row r="1313" spans="1:6" x14ac:dyDescent="0.55000000000000004">
      <c r="A1313" t="str">
        <f t="shared" si="45"/>
        <v>35</v>
      </c>
      <c r="B1313" t="str">
        <f>"35.0199"</f>
        <v>35.0199</v>
      </c>
      <c r="C1313" t="s">
        <v>8</v>
      </c>
      <c r="D1313" t="s">
        <v>12</v>
      </c>
      <c r="E1313" t="s">
        <v>2912</v>
      </c>
      <c r="F1313" t="s">
        <v>2913</v>
      </c>
    </row>
    <row r="1314" spans="1:6" x14ac:dyDescent="0.55000000000000004">
      <c r="A1314" t="str">
        <f>"36"</f>
        <v>36</v>
      </c>
      <c r="B1314" t="str">
        <f>"36"</f>
        <v>36</v>
      </c>
      <c r="C1314" t="s">
        <v>8</v>
      </c>
      <c r="D1314" t="s">
        <v>12</v>
      </c>
      <c r="E1314" t="s">
        <v>2914</v>
      </c>
      <c r="F1314" t="s">
        <v>2915</v>
      </c>
    </row>
    <row r="1315" spans="1:6" x14ac:dyDescent="0.55000000000000004">
      <c r="A1315" t="str">
        <f t="shared" ref="A1315:A1346" si="46">"36"</f>
        <v>36</v>
      </c>
      <c r="B1315" t="str">
        <f>"36.01"</f>
        <v>36.01</v>
      </c>
      <c r="C1315" t="s">
        <v>8</v>
      </c>
      <c r="D1315" t="s">
        <v>12</v>
      </c>
      <c r="E1315" t="s">
        <v>2916</v>
      </c>
      <c r="F1315" t="s">
        <v>2917</v>
      </c>
    </row>
    <row r="1316" spans="1:6" x14ac:dyDescent="0.55000000000000004">
      <c r="A1316" t="str">
        <f t="shared" si="46"/>
        <v>36</v>
      </c>
      <c r="B1316" t="str">
        <f>"36.0101"</f>
        <v>36.0101</v>
      </c>
      <c r="C1316" t="s">
        <v>8</v>
      </c>
      <c r="D1316" t="s">
        <v>12</v>
      </c>
      <c r="E1316" t="s">
        <v>2918</v>
      </c>
      <c r="F1316" t="s">
        <v>2919</v>
      </c>
    </row>
    <row r="1317" spans="1:6" x14ac:dyDescent="0.55000000000000004">
      <c r="A1317" t="str">
        <f t="shared" si="46"/>
        <v>36</v>
      </c>
      <c r="B1317" t="str">
        <f>"36.0102"</f>
        <v>36.0102</v>
      </c>
      <c r="C1317" t="s">
        <v>8</v>
      </c>
      <c r="D1317" t="s">
        <v>12</v>
      </c>
      <c r="E1317" t="s">
        <v>2920</v>
      </c>
      <c r="F1317" t="s">
        <v>2921</v>
      </c>
    </row>
    <row r="1318" spans="1:6" x14ac:dyDescent="0.55000000000000004">
      <c r="A1318" t="str">
        <f t="shared" si="46"/>
        <v>36</v>
      </c>
      <c r="B1318" t="str">
        <f>"36.0103"</f>
        <v>36.0103</v>
      </c>
      <c r="C1318" t="s">
        <v>8</v>
      </c>
      <c r="D1318" t="s">
        <v>12</v>
      </c>
      <c r="E1318" t="s">
        <v>2922</v>
      </c>
      <c r="F1318" t="s">
        <v>2923</v>
      </c>
    </row>
    <row r="1319" spans="1:6" x14ac:dyDescent="0.55000000000000004">
      <c r="A1319" t="str">
        <f t="shared" si="46"/>
        <v>36</v>
      </c>
      <c r="B1319" t="str">
        <f>"36.0105"</f>
        <v>36.0105</v>
      </c>
      <c r="C1319" t="s">
        <v>8</v>
      </c>
      <c r="D1319" t="s">
        <v>12</v>
      </c>
      <c r="E1319" t="s">
        <v>2924</v>
      </c>
      <c r="F1319" t="s">
        <v>2925</v>
      </c>
    </row>
    <row r="1320" spans="1:6" x14ac:dyDescent="0.55000000000000004">
      <c r="A1320" t="str">
        <f t="shared" si="46"/>
        <v>36</v>
      </c>
      <c r="B1320" t="str">
        <f>"36.0106"</f>
        <v>36.0106</v>
      </c>
      <c r="C1320" t="s">
        <v>8</v>
      </c>
      <c r="D1320" t="s">
        <v>12</v>
      </c>
      <c r="E1320" t="s">
        <v>2926</v>
      </c>
      <c r="F1320" t="s">
        <v>2927</v>
      </c>
    </row>
    <row r="1321" spans="1:6" x14ac:dyDescent="0.55000000000000004">
      <c r="A1321" t="str">
        <f t="shared" si="46"/>
        <v>36</v>
      </c>
      <c r="B1321" t="str">
        <f>"36.0107"</f>
        <v>36.0107</v>
      </c>
      <c r="C1321" t="s">
        <v>8</v>
      </c>
      <c r="D1321" t="s">
        <v>12</v>
      </c>
      <c r="E1321" t="s">
        <v>2928</v>
      </c>
      <c r="F1321" t="s">
        <v>2929</v>
      </c>
    </row>
    <row r="1322" spans="1:6" x14ac:dyDescent="0.55000000000000004">
      <c r="A1322" t="str">
        <f t="shared" si="46"/>
        <v>36</v>
      </c>
      <c r="B1322" t="str">
        <f>"36.0108"</f>
        <v>36.0108</v>
      </c>
      <c r="C1322" t="s">
        <v>8</v>
      </c>
      <c r="D1322" t="s">
        <v>12</v>
      </c>
      <c r="E1322" t="s">
        <v>2930</v>
      </c>
      <c r="F1322" t="s">
        <v>2931</v>
      </c>
    </row>
    <row r="1323" spans="1:6" x14ac:dyDescent="0.55000000000000004">
      <c r="A1323" t="str">
        <f t="shared" si="46"/>
        <v>36</v>
      </c>
      <c r="B1323" t="str">
        <f>"36.0109"</f>
        <v>36.0109</v>
      </c>
      <c r="C1323" t="s">
        <v>8</v>
      </c>
      <c r="D1323" t="s">
        <v>12</v>
      </c>
      <c r="E1323" t="s">
        <v>2932</v>
      </c>
      <c r="F1323" t="s">
        <v>2933</v>
      </c>
    </row>
    <row r="1324" spans="1:6" x14ac:dyDescent="0.55000000000000004">
      <c r="A1324" t="str">
        <f t="shared" si="46"/>
        <v>36</v>
      </c>
      <c r="B1324" t="str">
        <f>"36.0110"</f>
        <v>36.0110</v>
      </c>
      <c r="C1324" t="s">
        <v>8</v>
      </c>
      <c r="D1324" t="s">
        <v>12</v>
      </c>
      <c r="E1324" t="s">
        <v>2934</v>
      </c>
      <c r="F1324" t="s">
        <v>2935</v>
      </c>
    </row>
    <row r="1325" spans="1:6" x14ac:dyDescent="0.55000000000000004">
      <c r="A1325" t="str">
        <f t="shared" si="46"/>
        <v>36</v>
      </c>
      <c r="B1325" t="str">
        <f>"36.0111"</f>
        <v>36.0111</v>
      </c>
      <c r="C1325" t="s">
        <v>8</v>
      </c>
      <c r="D1325" t="s">
        <v>12</v>
      </c>
      <c r="E1325" t="s">
        <v>2936</v>
      </c>
      <c r="F1325" t="s">
        <v>2937</v>
      </c>
    </row>
    <row r="1326" spans="1:6" x14ac:dyDescent="0.55000000000000004">
      <c r="A1326" t="str">
        <f t="shared" si="46"/>
        <v>36</v>
      </c>
      <c r="B1326" t="str">
        <f>"36.0112"</f>
        <v>36.0112</v>
      </c>
      <c r="C1326" t="s">
        <v>8</v>
      </c>
      <c r="D1326" t="s">
        <v>12</v>
      </c>
      <c r="E1326" t="s">
        <v>2938</v>
      </c>
      <c r="F1326" t="s">
        <v>2939</v>
      </c>
    </row>
    <row r="1327" spans="1:6" x14ac:dyDescent="0.55000000000000004">
      <c r="A1327" t="str">
        <f t="shared" si="46"/>
        <v>36</v>
      </c>
      <c r="B1327" t="str">
        <f>"36.0113"</f>
        <v>36.0113</v>
      </c>
      <c r="C1327" t="s">
        <v>8</v>
      </c>
      <c r="D1327" t="s">
        <v>12</v>
      </c>
      <c r="E1327" t="s">
        <v>2940</v>
      </c>
      <c r="F1327" t="s">
        <v>2941</v>
      </c>
    </row>
    <row r="1328" spans="1:6" x14ac:dyDescent="0.55000000000000004">
      <c r="A1328" t="str">
        <f t="shared" si="46"/>
        <v>36</v>
      </c>
      <c r="B1328" t="str">
        <f>"36.0114"</f>
        <v>36.0114</v>
      </c>
      <c r="C1328" t="s">
        <v>8</v>
      </c>
      <c r="D1328" t="s">
        <v>12</v>
      </c>
      <c r="E1328" t="s">
        <v>2942</v>
      </c>
      <c r="F1328" t="s">
        <v>2943</v>
      </c>
    </row>
    <row r="1329" spans="1:8" x14ac:dyDescent="0.55000000000000004">
      <c r="A1329" t="str">
        <f t="shared" si="46"/>
        <v>36</v>
      </c>
      <c r="B1329" t="str">
        <f>"36.0115"</f>
        <v>36.0115</v>
      </c>
      <c r="C1329" t="s">
        <v>8</v>
      </c>
      <c r="D1329" t="s">
        <v>12</v>
      </c>
      <c r="E1329" t="s">
        <v>2944</v>
      </c>
      <c r="F1329" t="s">
        <v>2945</v>
      </c>
    </row>
    <row r="1330" spans="1:8" x14ac:dyDescent="0.55000000000000004">
      <c r="A1330" t="str">
        <f t="shared" si="46"/>
        <v>36</v>
      </c>
      <c r="B1330" t="str">
        <f>"36.0116"</f>
        <v>36.0116</v>
      </c>
      <c r="C1330" t="s">
        <v>8</v>
      </c>
      <c r="D1330" t="s">
        <v>12</v>
      </c>
      <c r="E1330" t="s">
        <v>2946</v>
      </c>
      <c r="F1330" t="s">
        <v>2947</v>
      </c>
    </row>
    <row r="1331" spans="1:8" x14ac:dyDescent="0.55000000000000004">
      <c r="A1331" t="str">
        <f t="shared" si="46"/>
        <v>36</v>
      </c>
      <c r="B1331" t="str">
        <f>"36.0117"</f>
        <v>36.0117</v>
      </c>
      <c r="C1331" t="s">
        <v>8</v>
      </c>
      <c r="D1331" t="s">
        <v>12</v>
      </c>
      <c r="E1331" t="s">
        <v>2948</v>
      </c>
      <c r="F1331" t="s">
        <v>2949</v>
      </c>
    </row>
    <row r="1332" spans="1:8" x14ac:dyDescent="0.55000000000000004">
      <c r="A1332" t="str">
        <f t="shared" si="46"/>
        <v>36</v>
      </c>
      <c r="B1332" t="str">
        <f>"36.0118"</f>
        <v>36.0118</v>
      </c>
      <c r="C1332" t="s">
        <v>8</v>
      </c>
      <c r="D1332" t="s">
        <v>12</v>
      </c>
      <c r="E1332" t="s">
        <v>2950</v>
      </c>
      <c r="F1332" t="s">
        <v>2951</v>
      </c>
    </row>
    <row r="1333" spans="1:8" x14ac:dyDescent="0.55000000000000004">
      <c r="A1333" t="str">
        <f t="shared" si="46"/>
        <v>36</v>
      </c>
      <c r="B1333" t="str">
        <f>"36.0119"</f>
        <v>36.0119</v>
      </c>
      <c r="C1333" t="s">
        <v>70</v>
      </c>
      <c r="D1333" t="s">
        <v>12</v>
      </c>
      <c r="E1333" t="s">
        <v>2952</v>
      </c>
      <c r="F1333" t="s">
        <v>2953</v>
      </c>
    </row>
    <row r="1334" spans="1:8" x14ac:dyDescent="0.55000000000000004">
      <c r="A1334" t="str">
        <f t="shared" si="46"/>
        <v>36</v>
      </c>
      <c r="B1334" t="str">
        <f>"36.0120"</f>
        <v>36.0120</v>
      </c>
      <c r="C1334" t="s">
        <v>47</v>
      </c>
      <c r="D1334" t="s">
        <v>12</v>
      </c>
      <c r="E1334" t="s">
        <v>2954</v>
      </c>
      <c r="F1334" t="s">
        <v>2955</v>
      </c>
      <c r="G1334" t="s">
        <v>2956</v>
      </c>
    </row>
    <row r="1335" spans="1:8" x14ac:dyDescent="0.55000000000000004">
      <c r="A1335" t="str">
        <f t="shared" si="46"/>
        <v>36</v>
      </c>
      <c r="B1335" t="str">
        <f>"36.0121"</f>
        <v>36.0121</v>
      </c>
      <c r="C1335" t="s">
        <v>47</v>
      </c>
      <c r="D1335" t="s">
        <v>12</v>
      </c>
      <c r="E1335" t="s">
        <v>2957</v>
      </c>
      <c r="F1335" t="s">
        <v>2958</v>
      </c>
    </row>
    <row r="1336" spans="1:8" x14ac:dyDescent="0.55000000000000004">
      <c r="A1336" t="str">
        <f t="shared" si="46"/>
        <v>36</v>
      </c>
      <c r="B1336" t="str">
        <f>"36.0122"</f>
        <v>36.0122</v>
      </c>
      <c r="C1336" t="s">
        <v>47</v>
      </c>
      <c r="D1336" t="s">
        <v>12</v>
      </c>
      <c r="E1336" t="s">
        <v>2959</v>
      </c>
      <c r="F1336" t="s">
        <v>2960</v>
      </c>
    </row>
    <row r="1337" spans="1:8" x14ac:dyDescent="0.55000000000000004">
      <c r="A1337" t="str">
        <f t="shared" si="46"/>
        <v>36</v>
      </c>
      <c r="B1337" t="str">
        <f>"36.0123"</f>
        <v>36.0123</v>
      </c>
      <c r="C1337" t="s">
        <v>47</v>
      </c>
      <c r="D1337" t="s">
        <v>12</v>
      </c>
      <c r="E1337" t="s">
        <v>2961</v>
      </c>
      <c r="F1337" t="s">
        <v>2962</v>
      </c>
      <c r="G1337" t="s">
        <v>2963</v>
      </c>
    </row>
    <row r="1338" spans="1:8" x14ac:dyDescent="0.55000000000000004">
      <c r="A1338" t="str">
        <f t="shared" si="46"/>
        <v>36</v>
      </c>
      <c r="B1338" t="str">
        <f>"36.0199"</f>
        <v>36.0199</v>
      </c>
      <c r="C1338" t="s">
        <v>8</v>
      </c>
      <c r="D1338" t="s">
        <v>12</v>
      </c>
      <c r="E1338" t="s">
        <v>2964</v>
      </c>
      <c r="F1338" t="s">
        <v>2965</v>
      </c>
    </row>
    <row r="1339" spans="1:8" x14ac:dyDescent="0.55000000000000004">
      <c r="A1339" t="str">
        <f t="shared" si="46"/>
        <v>36</v>
      </c>
      <c r="B1339" t="str">
        <f>"36.02"</f>
        <v>36.02</v>
      </c>
      <c r="C1339" t="s">
        <v>47</v>
      </c>
      <c r="D1339" t="s">
        <v>12</v>
      </c>
      <c r="E1339" t="s">
        <v>2966</v>
      </c>
      <c r="F1339" t="s">
        <v>2967</v>
      </c>
    </row>
    <row r="1340" spans="1:8" x14ac:dyDescent="0.55000000000000004">
      <c r="A1340" t="str">
        <f t="shared" si="46"/>
        <v>36</v>
      </c>
      <c r="B1340" t="str">
        <f>"36.0202"</f>
        <v>36.0202</v>
      </c>
      <c r="C1340" t="s">
        <v>173</v>
      </c>
      <c r="D1340" t="s">
        <v>12</v>
      </c>
      <c r="E1340" t="s">
        <v>2952</v>
      </c>
      <c r="F1340" t="s">
        <v>2968</v>
      </c>
    </row>
    <row r="1341" spans="1:8" x14ac:dyDescent="0.55000000000000004">
      <c r="A1341" t="str">
        <f t="shared" si="46"/>
        <v>36</v>
      </c>
      <c r="B1341" t="str">
        <f>"36.0203"</f>
        <v>36.0203</v>
      </c>
      <c r="C1341" t="s">
        <v>47</v>
      </c>
      <c r="D1341" t="s">
        <v>12</v>
      </c>
      <c r="E1341" t="s">
        <v>2969</v>
      </c>
      <c r="F1341" t="s">
        <v>2970</v>
      </c>
    </row>
    <row r="1342" spans="1:8" x14ac:dyDescent="0.55000000000000004">
      <c r="A1342" t="str">
        <f t="shared" si="46"/>
        <v>36</v>
      </c>
      <c r="B1342" t="str">
        <f>"36.0204"</f>
        <v>36.0204</v>
      </c>
      <c r="C1342" t="s">
        <v>47</v>
      </c>
      <c r="D1342" t="s">
        <v>12</v>
      </c>
      <c r="E1342" t="s">
        <v>2971</v>
      </c>
      <c r="F1342" t="s">
        <v>2972</v>
      </c>
    </row>
    <row r="1343" spans="1:8" x14ac:dyDescent="0.55000000000000004">
      <c r="A1343" t="str">
        <f t="shared" si="46"/>
        <v>36</v>
      </c>
      <c r="B1343" t="str">
        <f>"36.0205"</f>
        <v>36.0205</v>
      </c>
      <c r="C1343" t="s">
        <v>47</v>
      </c>
      <c r="D1343" t="s">
        <v>12</v>
      </c>
      <c r="E1343" t="s">
        <v>2973</v>
      </c>
      <c r="F1343" t="s">
        <v>2974</v>
      </c>
    </row>
    <row r="1344" spans="1:8" x14ac:dyDescent="0.55000000000000004">
      <c r="A1344" t="str">
        <f t="shared" si="46"/>
        <v>36</v>
      </c>
      <c r="B1344" t="str">
        <f>"36.0206"</f>
        <v>36.0206</v>
      </c>
      <c r="C1344" t="s">
        <v>47</v>
      </c>
      <c r="D1344" t="s">
        <v>12</v>
      </c>
      <c r="E1344" t="s">
        <v>2975</v>
      </c>
      <c r="F1344" t="s">
        <v>2976</v>
      </c>
      <c r="H1344" t="s">
        <v>2977</v>
      </c>
    </row>
    <row r="1345" spans="1:7" x14ac:dyDescent="0.55000000000000004">
      <c r="A1345" t="str">
        <f t="shared" si="46"/>
        <v>36</v>
      </c>
      <c r="B1345" t="str">
        <f>"36.0207"</f>
        <v>36.0207</v>
      </c>
      <c r="C1345" t="s">
        <v>47</v>
      </c>
      <c r="D1345" t="s">
        <v>12</v>
      </c>
      <c r="E1345" t="s">
        <v>2978</v>
      </c>
      <c r="F1345" t="s">
        <v>2979</v>
      </c>
      <c r="G1345" t="s">
        <v>2980</v>
      </c>
    </row>
    <row r="1346" spans="1:7" x14ac:dyDescent="0.55000000000000004">
      <c r="A1346" t="str">
        <f t="shared" si="46"/>
        <v>36</v>
      </c>
      <c r="B1346" t="str">
        <f>"36.0299"</f>
        <v>36.0299</v>
      </c>
      <c r="C1346" t="s">
        <v>47</v>
      </c>
      <c r="D1346" t="s">
        <v>12</v>
      </c>
      <c r="E1346" t="s">
        <v>2981</v>
      </c>
      <c r="F1346" t="s">
        <v>2982</v>
      </c>
    </row>
    <row r="1347" spans="1:7" x14ac:dyDescent="0.55000000000000004">
      <c r="A1347" t="str">
        <f>"37"</f>
        <v>37</v>
      </c>
      <c r="B1347" t="str">
        <f>"37"</f>
        <v>37</v>
      </c>
      <c r="C1347" t="s">
        <v>8</v>
      </c>
      <c r="D1347" t="s">
        <v>12</v>
      </c>
      <c r="E1347" t="s">
        <v>2983</v>
      </c>
      <c r="F1347" t="s">
        <v>2984</v>
      </c>
    </row>
    <row r="1348" spans="1:7" x14ac:dyDescent="0.55000000000000004">
      <c r="A1348" t="str">
        <f t="shared" ref="A1348:A1355" si="47">"37"</f>
        <v>37</v>
      </c>
      <c r="B1348" t="str">
        <f>"37.01"</f>
        <v>37.01</v>
      </c>
      <c r="C1348" t="s">
        <v>8</v>
      </c>
      <c r="D1348" t="s">
        <v>12</v>
      </c>
      <c r="E1348" t="s">
        <v>2985</v>
      </c>
      <c r="F1348" t="s">
        <v>2986</v>
      </c>
    </row>
    <row r="1349" spans="1:7" x14ac:dyDescent="0.55000000000000004">
      <c r="A1349" t="str">
        <f t="shared" si="47"/>
        <v>37</v>
      </c>
      <c r="B1349" t="str">
        <f>"37.0101"</f>
        <v>37.0101</v>
      </c>
      <c r="C1349" t="s">
        <v>8</v>
      </c>
      <c r="D1349" t="s">
        <v>12</v>
      </c>
      <c r="E1349" t="s">
        <v>2987</v>
      </c>
      <c r="F1349" t="s">
        <v>2988</v>
      </c>
    </row>
    <row r="1350" spans="1:7" x14ac:dyDescent="0.55000000000000004">
      <c r="A1350" t="str">
        <f t="shared" si="47"/>
        <v>37</v>
      </c>
      <c r="B1350" t="str">
        <f>"37.0102"</f>
        <v>37.0102</v>
      </c>
      <c r="C1350" t="s">
        <v>8</v>
      </c>
      <c r="D1350" t="s">
        <v>12</v>
      </c>
      <c r="E1350" t="s">
        <v>2989</v>
      </c>
      <c r="F1350" t="s">
        <v>2990</v>
      </c>
    </row>
    <row r="1351" spans="1:7" x14ac:dyDescent="0.55000000000000004">
      <c r="A1351" t="str">
        <f t="shared" si="47"/>
        <v>37</v>
      </c>
      <c r="B1351" t="str">
        <f>"37.0103"</f>
        <v>37.0103</v>
      </c>
      <c r="C1351" t="s">
        <v>8</v>
      </c>
      <c r="D1351" t="s">
        <v>12</v>
      </c>
      <c r="E1351" t="s">
        <v>2991</v>
      </c>
      <c r="F1351" t="s">
        <v>2992</v>
      </c>
    </row>
    <row r="1352" spans="1:7" x14ac:dyDescent="0.55000000000000004">
      <c r="A1352" t="str">
        <f t="shared" si="47"/>
        <v>37</v>
      </c>
      <c r="B1352" t="str">
        <f>"37.0104"</f>
        <v>37.0104</v>
      </c>
      <c r="C1352" t="s">
        <v>8</v>
      </c>
      <c r="D1352" t="s">
        <v>12</v>
      </c>
      <c r="E1352" t="s">
        <v>2993</v>
      </c>
      <c r="F1352" t="s">
        <v>2994</v>
      </c>
    </row>
    <row r="1353" spans="1:7" x14ac:dyDescent="0.55000000000000004">
      <c r="A1353" t="str">
        <f t="shared" si="47"/>
        <v>37</v>
      </c>
      <c r="B1353" t="str">
        <f>"37.0106"</f>
        <v>37.0106</v>
      </c>
      <c r="C1353" t="s">
        <v>47</v>
      </c>
      <c r="D1353" t="s">
        <v>12</v>
      </c>
      <c r="E1353" t="s">
        <v>2995</v>
      </c>
      <c r="F1353" t="s">
        <v>2996</v>
      </c>
    </row>
    <row r="1354" spans="1:7" x14ac:dyDescent="0.55000000000000004">
      <c r="A1354" t="str">
        <f t="shared" si="47"/>
        <v>37</v>
      </c>
      <c r="B1354" t="str">
        <f>"37.0107"</f>
        <v>37.0107</v>
      </c>
      <c r="C1354" t="s">
        <v>47</v>
      </c>
      <c r="D1354" t="s">
        <v>12</v>
      </c>
      <c r="E1354" t="s">
        <v>2997</v>
      </c>
      <c r="F1354" t="s">
        <v>2998</v>
      </c>
    </row>
    <row r="1355" spans="1:7" x14ac:dyDescent="0.55000000000000004">
      <c r="A1355" t="str">
        <f t="shared" si="47"/>
        <v>37</v>
      </c>
      <c r="B1355" t="str">
        <f>"37.0199"</f>
        <v>37.0199</v>
      </c>
      <c r="C1355" t="s">
        <v>8</v>
      </c>
      <c r="D1355" t="s">
        <v>12</v>
      </c>
      <c r="E1355" t="s">
        <v>2999</v>
      </c>
      <c r="F1355" t="s">
        <v>3000</v>
      </c>
    </row>
    <row r="1356" spans="1:7" x14ac:dyDescent="0.55000000000000004">
      <c r="A1356" t="str">
        <f>"38"</f>
        <v>38</v>
      </c>
      <c r="B1356" t="str">
        <f>"38"</f>
        <v>38</v>
      </c>
      <c r="C1356" t="s">
        <v>8</v>
      </c>
      <c r="D1356" t="s">
        <v>12</v>
      </c>
      <c r="E1356" t="s">
        <v>3001</v>
      </c>
      <c r="F1356" t="s">
        <v>3002</v>
      </c>
    </row>
    <row r="1357" spans="1:7" x14ac:dyDescent="0.55000000000000004">
      <c r="A1357" t="str">
        <f t="shared" ref="A1357:A1377" si="48">"38"</f>
        <v>38</v>
      </c>
      <c r="B1357" t="str">
        <f>"38.00"</f>
        <v>38.00</v>
      </c>
      <c r="C1357" t="s">
        <v>8</v>
      </c>
      <c r="D1357" t="s">
        <v>12</v>
      </c>
      <c r="E1357" t="s">
        <v>3003</v>
      </c>
      <c r="F1357" t="s">
        <v>3004</v>
      </c>
    </row>
    <row r="1358" spans="1:7" x14ac:dyDescent="0.55000000000000004">
      <c r="A1358" t="str">
        <f t="shared" si="48"/>
        <v>38</v>
      </c>
      <c r="B1358" t="str">
        <f>"38.0001"</f>
        <v>38.0001</v>
      </c>
      <c r="C1358" t="s">
        <v>8</v>
      </c>
      <c r="D1358" t="s">
        <v>12</v>
      </c>
      <c r="E1358" t="s">
        <v>3003</v>
      </c>
      <c r="F1358" t="s">
        <v>3005</v>
      </c>
      <c r="G1358" t="s">
        <v>3006</v>
      </c>
    </row>
    <row r="1359" spans="1:7" x14ac:dyDescent="0.55000000000000004">
      <c r="A1359" t="str">
        <f t="shared" si="48"/>
        <v>38</v>
      </c>
      <c r="B1359" t="str">
        <f>"38.01"</f>
        <v>38.01</v>
      </c>
      <c r="C1359" t="s">
        <v>8</v>
      </c>
      <c r="D1359" t="s">
        <v>12</v>
      </c>
      <c r="E1359" t="s">
        <v>3007</v>
      </c>
      <c r="F1359" t="s">
        <v>3008</v>
      </c>
    </row>
    <row r="1360" spans="1:7" x14ac:dyDescent="0.55000000000000004">
      <c r="A1360" t="str">
        <f t="shared" si="48"/>
        <v>38</v>
      </c>
      <c r="B1360" t="str">
        <f>"38.0101"</f>
        <v>38.0101</v>
      </c>
      <c r="C1360" t="s">
        <v>8</v>
      </c>
      <c r="D1360" t="s">
        <v>12</v>
      </c>
      <c r="E1360" t="s">
        <v>3007</v>
      </c>
      <c r="F1360" t="s">
        <v>3009</v>
      </c>
    </row>
    <row r="1361" spans="1:8" x14ac:dyDescent="0.55000000000000004">
      <c r="A1361" t="str">
        <f t="shared" si="48"/>
        <v>38</v>
      </c>
      <c r="B1361" t="str">
        <f>"38.0102"</f>
        <v>38.0102</v>
      </c>
      <c r="C1361" t="s">
        <v>8</v>
      </c>
      <c r="D1361" t="s">
        <v>12</v>
      </c>
      <c r="E1361" t="s">
        <v>3010</v>
      </c>
      <c r="F1361" t="s">
        <v>3011</v>
      </c>
    </row>
    <row r="1362" spans="1:8" x14ac:dyDescent="0.55000000000000004">
      <c r="A1362" t="str">
        <f t="shared" si="48"/>
        <v>38</v>
      </c>
      <c r="B1362" t="str">
        <f>"38.0103"</f>
        <v>38.0103</v>
      </c>
      <c r="C1362" t="s">
        <v>8</v>
      </c>
      <c r="D1362" t="s">
        <v>12</v>
      </c>
      <c r="E1362" t="s">
        <v>3012</v>
      </c>
      <c r="F1362" t="s">
        <v>3013</v>
      </c>
    </row>
    <row r="1363" spans="1:8" x14ac:dyDescent="0.55000000000000004">
      <c r="A1363" t="str">
        <f t="shared" si="48"/>
        <v>38</v>
      </c>
      <c r="B1363" t="str">
        <f>"38.0104"</f>
        <v>38.0104</v>
      </c>
      <c r="C1363" t="s">
        <v>8</v>
      </c>
      <c r="D1363" t="s">
        <v>12</v>
      </c>
      <c r="E1363" t="s">
        <v>3014</v>
      </c>
      <c r="F1363" t="s">
        <v>3015</v>
      </c>
      <c r="G1363" t="s">
        <v>3016</v>
      </c>
      <c r="H1363" t="s">
        <v>3017</v>
      </c>
    </row>
    <row r="1364" spans="1:8" x14ac:dyDescent="0.55000000000000004">
      <c r="A1364" t="str">
        <f t="shared" si="48"/>
        <v>38</v>
      </c>
      <c r="B1364" t="str">
        <f>"38.0199"</f>
        <v>38.0199</v>
      </c>
      <c r="C1364" t="s">
        <v>8</v>
      </c>
      <c r="D1364" t="s">
        <v>12</v>
      </c>
      <c r="E1364" t="s">
        <v>3018</v>
      </c>
      <c r="F1364" t="s">
        <v>3019</v>
      </c>
      <c r="G1364" t="s">
        <v>3020</v>
      </c>
    </row>
    <row r="1365" spans="1:8" x14ac:dyDescent="0.55000000000000004">
      <c r="A1365" t="str">
        <f t="shared" si="48"/>
        <v>38</v>
      </c>
      <c r="B1365" t="str">
        <f>"38.02"</f>
        <v>38.02</v>
      </c>
      <c r="C1365" t="s">
        <v>8</v>
      </c>
      <c r="D1365" t="s">
        <v>12</v>
      </c>
      <c r="E1365" t="s">
        <v>3021</v>
      </c>
      <c r="F1365" t="s">
        <v>3022</v>
      </c>
    </row>
    <row r="1366" spans="1:8" x14ac:dyDescent="0.55000000000000004">
      <c r="A1366" t="str">
        <f t="shared" si="48"/>
        <v>38</v>
      </c>
      <c r="B1366" t="str">
        <f>"38.0201"</f>
        <v>38.0201</v>
      </c>
      <c r="C1366" t="s">
        <v>8</v>
      </c>
      <c r="D1366" t="s">
        <v>12</v>
      </c>
      <c r="E1366" t="s">
        <v>3021</v>
      </c>
      <c r="F1366" t="s">
        <v>3023</v>
      </c>
    </row>
    <row r="1367" spans="1:8" x14ac:dyDescent="0.55000000000000004">
      <c r="A1367" t="str">
        <f t="shared" si="48"/>
        <v>38</v>
      </c>
      <c r="B1367" t="str">
        <f>"38.0202"</f>
        <v>38.0202</v>
      </c>
      <c r="C1367" t="s">
        <v>8</v>
      </c>
      <c r="D1367" t="s">
        <v>12</v>
      </c>
      <c r="E1367" t="s">
        <v>3024</v>
      </c>
      <c r="F1367" t="s">
        <v>3025</v>
      </c>
    </row>
    <row r="1368" spans="1:8" x14ac:dyDescent="0.55000000000000004">
      <c r="A1368" t="str">
        <f t="shared" si="48"/>
        <v>38</v>
      </c>
      <c r="B1368" t="str">
        <f>"38.0203"</f>
        <v>38.0203</v>
      </c>
      <c r="C1368" t="s">
        <v>8</v>
      </c>
      <c r="D1368" t="s">
        <v>12</v>
      </c>
      <c r="E1368" t="s">
        <v>3026</v>
      </c>
      <c r="F1368" t="s">
        <v>3027</v>
      </c>
      <c r="G1368" t="s">
        <v>3028</v>
      </c>
    </row>
    <row r="1369" spans="1:8" x14ac:dyDescent="0.55000000000000004">
      <c r="A1369" t="str">
        <f t="shared" si="48"/>
        <v>38</v>
      </c>
      <c r="B1369" t="str">
        <f>"38.0204"</f>
        <v>38.0204</v>
      </c>
      <c r="C1369" t="s">
        <v>8</v>
      </c>
      <c r="D1369" t="s">
        <v>12</v>
      </c>
      <c r="E1369" t="s">
        <v>3029</v>
      </c>
      <c r="F1369" t="s">
        <v>3030</v>
      </c>
    </row>
    <row r="1370" spans="1:8" x14ac:dyDescent="0.55000000000000004">
      <c r="A1370" t="str">
        <f t="shared" si="48"/>
        <v>38</v>
      </c>
      <c r="B1370" t="str">
        <f>"38.0205"</f>
        <v>38.0205</v>
      </c>
      <c r="C1370" t="s">
        <v>8</v>
      </c>
      <c r="D1370" t="s">
        <v>12</v>
      </c>
      <c r="E1370" t="s">
        <v>3031</v>
      </c>
      <c r="F1370" t="s">
        <v>3032</v>
      </c>
    </row>
    <row r="1371" spans="1:8" x14ac:dyDescent="0.55000000000000004">
      <c r="A1371" t="str">
        <f t="shared" si="48"/>
        <v>38</v>
      </c>
      <c r="B1371" t="str">
        <f>"38.0206"</f>
        <v>38.0206</v>
      </c>
      <c r="C1371" t="s">
        <v>8</v>
      </c>
      <c r="D1371" t="s">
        <v>12</v>
      </c>
      <c r="E1371" t="s">
        <v>3033</v>
      </c>
      <c r="F1371" t="s">
        <v>3034</v>
      </c>
      <c r="G1371" t="s">
        <v>3035</v>
      </c>
    </row>
    <row r="1372" spans="1:8" x14ac:dyDescent="0.55000000000000004">
      <c r="A1372" t="str">
        <f t="shared" si="48"/>
        <v>38</v>
      </c>
      <c r="B1372" t="str">
        <f>"38.0207"</f>
        <v>38.0207</v>
      </c>
      <c r="C1372" t="s">
        <v>173</v>
      </c>
      <c r="D1372" t="s">
        <v>9</v>
      </c>
      <c r="E1372" t="s">
        <v>3036</v>
      </c>
      <c r="F1372" t="s">
        <v>3037</v>
      </c>
    </row>
    <row r="1373" spans="1:8" x14ac:dyDescent="0.55000000000000004">
      <c r="A1373" t="str">
        <f t="shared" si="48"/>
        <v>38</v>
      </c>
      <c r="B1373" t="str">
        <f>"38.0208"</f>
        <v>38.0208</v>
      </c>
      <c r="C1373" t="s">
        <v>47</v>
      </c>
      <c r="D1373" t="s">
        <v>12</v>
      </c>
      <c r="E1373" t="s">
        <v>3038</v>
      </c>
      <c r="F1373" t="s">
        <v>3039</v>
      </c>
    </row>
    <row r="1374" spans="1:8" x14ac:dyDescent="0.55000000000000004">
      <c r="A1374" t="str">
        <f t="shared" si="48"/>
        <v>38</v>
      </c>
      <c r="B1374" t="str">
        <f>"38.0209"</f>
        <v>38.0209</v>
      </c>
      <c r="C1374" t="s">
        <v>47</v>
      </c>
      <c r="D1374" t="s">
        <v>12</v>
      </c>
      <c r="E1374" t="s">
        <v>3040</v>
      </c>
      <c r="F1374" t="s">
        <v>3041</v>
      </c>
    </row>
    <row r="1375" spans="1:8" x14ac:dyDescent="0.55000000000000004">
      <c r="A1375" t="str">
        <f t="shared" si="48"/>
        <v>38</v>
      </c>
      <c r="B1375" t="str">
        <f>"38.0299"</f>
        <v>38.0299</v>
      </c>
      <c r="C1375" t="s">
        <v>8</v>
      </c>
      <c r="D1375" t="s">
        <v>12</v>
      </c>
      <c r="E1375" t="s">
        <v>3042</v>
      </c>
      <c r="F1375" t="s">
        <v>3043</v>
      </c>
    </row>
    <row r="1376" spans="1:8" x14ac:dyDescent="0.55000000000000004">
      <c r="A1376" t="str">
        <f t="shared" si="48"/>
        <v>38</v>
      </c>
      <c r="B1376" t="str">
        <f>"38.99"</f>
        <v>38.99</v>
      </c>
      <c r="C1376" t="s">
        <v>8</v>
      </c>
      <c r="D1376" t="s">
        <v>12</v>
      </c>
      <c r="E1376" t="s">
        <v>3044</v>
      </c>
      <c r="F1376" t="s">
        <v>3045</v>
      </c>
    </row>
    <row r="1377" spans="1:7" x14ac:dyDescent="0.55000000000000004">
      <c r="A1377" t="str">
        <f t="shared" si="48"/>
        <v>38</v>
      </c>
      <c r="B1377" t="str">
        <f>"38.9999"</f>
        <v>38.9999</v>
      </c>
      <c r="C1377" t="s">
        <v>8</v>
      </c>
      <c r="D1377" t="s">
        <v>12</v>
      </c>
      <c r="E1377" t="s">
        <v>3044</v>
      </c>
      <c r="F1377" t="s">
        <v>3046</v>
      </c>
    </row>
    <row r="1378" spans="1:7" x14ac:dyDescent="0.55000000000000004">
      <c r="A1378" t="str">
        <f>"39"</f>
        <v>39</v>
      </c>
      <c r="B1378" t="str">
        <f>"39"</f>
        <v>39</v>
      </c>
      <c r="C1378" t="s">
        <v>8</v>
      </c>
      <c r="D1378" t="s">
        <v>12</v>
      </c>
      <c r="E1378" t="s">
        <v>3047</v>
      </c>
      <c r="F1378" t="s">
        <v>3048</v>
      </c>
    </row>
    <row r="1379" spans="1:7" x14ac:dyDescent="0.55000000000000004">
      <c r="A1379" t="str">
        <f t="shared" ref="A1379:A1411" si="49">"39"</f>
        <v>39</v>
      </c>
      <c r="B1379" t="str">
        <f>"39.02"</f>
        <v>39.02</v>
      </c>
      <c r="C1379" t="s">
        <v>8</v>
      </c>
      <c r="D1379" t="s">
        <v>12</v>
      </c>
      <c r="E1379" t="s">
        <v>3049</v>
      </c>
      <c r="F1379" t="s">
        <v>3050</v>
      </c>
    </row>
    <row r="1380" spans="1:7" x14ac:dyDescent="0.55000000000000004">
      <c r="A1380" t="str">
        <f t="shared" si="49"/>
        <v>39</v>
      </c>
      <c r="B1380" t="str">
        <f>"39.0201"</f>
        <v>39.0201</v>
      </c>
      <c r="C1380" t="s">
        <v>8</v>
      </c>
      <c r="D1380" t="s">
        <v>12</v>
      </c>
      <c r="E1380" t="s">
        <v>3049</v>
      </c>
      <c r="F1380" t="s">
        <v>3051</v>
      </c>
      <c r="G1380" t="s">
        <v>3052</v>
      </c>
    </row>
    <row r="1381" spans="1:7" x14ac:dyDescent="0.55000000000000004">
      <c r="A1381" t="str">
        <f t="shared" si="49"/>
        <v>39</v>
      </c>
      <c r="B1381" t="str">
        <f>"39.03"</f>
        <v>39.03</v>
      </c>
      <c r="C1381" t="s">
        <v>8</v>
      </c>
      <c r="D1381" t="s">
        <v>12</v>
      </c>
      <c r="E1381" t="s">
        <v>3053</v>
      </c>
      <c r="F1381" t="s">
        <v>3054</v>
      </c>
    </row>
    <row r="1382" spans="1:7" x14ac:dyDescent="0.55000000000000004">
      <c r="A1382" t="str">
        <f t="shared" si="49"/>
        <v>39</v>
      </c>
      <c r="B1382" t="str">
        <f>"39.0301"</f>
        <v>39.0301</v>
      </c>
      <c r="C1382" t="s">
        <v>8</v>
      </c>
      <c r="D1382" t="s">
        <v>9</v>
      </c>
      <c r="E1382" t="s">
        <v>3055</v>
      </c>
      <c r="F1382" t="s">
        <v>3056</v>
      </c>
    </row>
    <row r="1383" spans="1:7" x14ac:dyDescent="0.55000000000000004">
      <c r="A1383" t="str">
        <f t="shared" si="49"/>
        <v>39</v>
      </c>
      <c r="B1383" t="str">
        <f>"39.0302"</f>
        <v>39.0302</v>
      </c>
      <c r="C1383" t="s">
        <v>47</v>
      </c>
      <c r="D1383" t="s">
        <v>12</v>
      </c>
      <c r="E1383" t="s">
        <v>3057</v>
      </c>
      <c r="F1383" t="s">
        <v>3058</v>
      </c>
    </row>
    <row r="1384" spans="1:7" x14ac:dyDescent="0.55000000000000004">
      <c r="A1384" t="str">
        <f t="shared" si="49"/>
        <v>39</v>
      </c>
      <c r="B1384" t="str">
        <f>"39.0399"</f>
        <v>39.0399</v>
      </c>
      <c r="C1384" t="s">
        <v>47</v>
      </c>
      <c r="D1384" t="s">
        <v>12</v>
      </c>
      <c r="E1384" t="s">
        <v>3059</v>
      </c>
      <c r="F1384" t="s">
        <v>3060</v>
      </c>
    </row>
    <row r="1385" spans="1:7" x14ac:dyDescent="0.55000000000000004">
      <c r="A1385" t="str">
        <f t="shared" si="49"/>
        <v>39</v>
      </c>
      <c r="B1385" t="str">
        <f>"39.04"</f>
        <v>39.04</v>
      </c>
      <c r="C1385" t="s">
        <v>8</v>
      </c>
      <c r="D1385" t="s">
        <v>12</v>
      </c>
      <c r="E1385" t="s">
        <v>3061</v>
      </c>
      <c r="F1385" t="s">
        <v>3062</v>
      </c>
    </row>
    <row r="1386" spans="1:7" x14ac:dyDescent="0.55000000000000004">
      <c r="A1386" t="str">
        <f t="shared" si="49"/>
        <v>39</v>
      </c>
      <c r="B1386" t="str">
        <f>"39.0401"</f>
        <v>39.0401</v>
      </c>
      <c r="C1386" t="s">
        <v>8</v>
      </c>
      <c r="D1386" t="s">
        <v>12</v>
      </c>
      <c r="E1386" t="s">
        <v>3061</v>
      </c>
      <c r="F1386" t="s">
        <v>3063</v>
      </c>
    </row>
    <row r="1387" spans="1:7" x14ac:dyDescent="0.55000000000000004">
      <c r="A1387" t="str">
        <f t="shared" si="49"/>
        <v>39</v>
      </c>
      <c r="B1387" t="str">
        <f>"39.05"</f>
        <v>39.05</v>
      </c>
      <c r="C1387" t="s">
        <v>8</v>
      </c>
      <c r="D1387" t="s">
        <v>9</v>
      </c>
      <c r="E1387" t="s">
        <v>3064</v>
      </c>
      <c r="F1387" t="s">
        <v>3065</v>
      </c>
    </row>
    <row r="1388" spans="1:7" x14ac:dyDescent="0.55000000000000004">
      <c r="A1388" t="str">
        <f t="shared" si="49"/>
        <v>39</v>
      </c>
      <c r="B1388" t="str">
        <f>"39.0501"</f>
        <v>39.0501</v>
      </c>
      <c r="C1388" t="s">
        <v>8</v>
      </c>
      <c r="D1388" t="s">
        <v>12</v>
      </c>
      <c r="E1388" t="s">
        <v>3066</v>
      </c>
      <c r="F1388" t="s">
        <v>3067</v>
      </c>
    </row>
    <row r="1389" spans="1:7" x14ac:dyDescent="0.55000000000000004">
      <c r="A1389" t="str">
        <f t="shared" si="49"/>
        <v>39</v>
      </c>
      <c r="B1389" t="str">
        <f>"39.0502"</f>
        <v>39.0502</v>
      </c>
      <c r="C1389" t="s">
        <v>47</v>
      </c>
      <c r="D1389" t="s">
        <v>12</v>
      </c>
      <c r="E1389" t="s">
        <v>3068</v>
      </c>
      <c r="F1389" t="s">
        <v>3069</v>
      </c>
    </row>
    <row r="1390" spans="1:7" x14ac:dyDescent="0.55000000000000004">
      <c r="A1390" t="str">
        <f t="shared" si="49"/>
        <v>39</v>
      </c>
      <c r="B1390" t="str">
        <f>"39.0599"</f>
        <v>39.0599</v>
      </c>
      <c r="C1390" t="s">
        <v>47</v>
      </c>
      <c r="D1390" t="s">
        <v>12</v>
      </c>
      <c r="E1390" t="s">
        <v>3070</v>
      </c>
      <c r="F1390" t="s">
        <v>3071</v>
      </c>
    </row>
    <row r="1391" spans="1:7" x14ac:dyDescent="0.55000000000000004">
      <c r="A1391" t="str">
        <f t="shared" si="49"/>
        <v>39</v>
      </c>
      <c r="B1391" t="str">
        <f>"39.06"</f>
        <v>39.06</v>
      </c>
      <c r="C1391" t="s">
        <v>8</v>
      </c>
      <c r="D1391" t="s">
        <v>12</v>
      </c>
      <c r="E1391" t="s">
        <v>3072</v>
      </c>
      <c r="F1391" t="s">
        <v>3073</v>
      </c>
    </row>
    <row r="1392" spans="1:7" x14ac:dyDescent="0.55000000000000004">
      <c r="A1392" t="str">
        <f t="shared" si="49"/>
        <v>39</v>
      </c>
      <c r="B1392" t="str">
        <f>"39.0601"</f>
        <v>39.0601</v>
      </c>
      <c r="C1392" t="s">
        <v>8</v>
      </c>
      <c r="D1392" t="s">
        <v>12</v>
      </c>
      <c r="E1392" t="s">
        <v>3074</v>
      </c>
      <c r="F1392" t="s">
        <v>3075</v>
      </c>
    </row>
    <row r="1393" spans="1:8" x14ac:dyDescent="0.55000000000000004">
      <c r="A1393" t="str">
        <f t="shared" si="49"/>
        <v>39</v>
      </c>
      <c r="B1393" t="str">
        <f>"39.0602"</f>
        <v>39.0602</v>
      </c>
      <c r="C1393" t="s">
        <v>8</v>
      </c>
      <c r="D1393" t="s">
        <v>12</v>
      </c>
      <c r="E1393" t="s">
        <v>3076</v>
      </c>
      <c r="F1393" t="s">
        <v>3077</v>
      </c>
      <c r="H1393" t="s">
        <v>3078</v>
      </c>
    </row>
    <row r="1394" spans="1:8" x14ac:dyDescent="0.55000000000000004">
      <c r="A1394" t="str">
        <f t="shared" si="49"/>
        <v>39</v>
      </c>
      <c r="B1394" t="str">
        <f>"39.0604"</f>
        <v>39.0604</v>
      </c>
      <c r="C1394" t="s">
        <v>8</v>
      </c>
      <c r="D1394" t="s">
        <v>12</v>
      </c>
      <c r="E1394" t="s">
        <v>3079</v>
      </c>
      <c r="F1394" t="s">
        <v>3080</v>
      </c>
    </row>
    <row r="1395" spans="1:8" x14ac:dyDescent="0.55000000000000004">
      <c r="A1395" t="str">
        <f t="shared" si="49"/>
        <v>39</v>
      </c>
      <c r="B1395" t="str">
        <f>"39.0605"</f>
        <v>39.0605</v>
      </c>
      <c r="C1395" t="s">
        <v>8</v>
      </c>
      <c r="D1395" t="s">
        <v>12</v>
      </c>
      <c r="E1395" t="s">
        <v>3081</v>
      </c>
      <c r="F1395" t="s">
        <v>3082</v>
      </c>
      <c r="G1395" t="s">
        <v>3083</v>
      </c>
      <c r="H1395" t="s">
        <v>3084</v>
      </c>
    </row>
    <row r="1396" spans="1:8" x14ac:dyDescent="0.55000000000000004">
      <c r="A1396" t="str">
        <f t="shared" si="49"/>
        <v>39</v>
      </c>
      <c r="B1396" t="str">
        <f>"39.0606"</f>
        <v>39.0606</v>
      </c>
      <c r="C1396" t="s">
        <v>70</v>
      </c>
      <c r="D1396" t="s">
        <v>12</v>
      </c>
      <c r="E1396" t="s">
        <v>3036</v>
      </c>
      <c r="F1396" t="s">
        <v>3085</v>
      </c>
    </row>
    <row r="1397" spans="1:8" x14ac:dyDescent="0.55000000000000004">
      <c r="A1397" t="str">
        <f t="shared" si="49"/>
        <v>39</v>
      </c>
      <c r="B1397" t="str">
        <f>"39.0699"</f>
        <v>39.0699</v>
      </c>
      <c r="C1397" t="s">
        <v>8</v>
      </c>
      <c r="D1397" t="s">
        <v>12</v>
      </c>
      <c r="E1397" t="s">
        <v>3086</v>
      </c>
      <c r="F1397" t="s">
        <v>3087</v>
      </c>
    </row>
    <row r="1398" spans="1:8" x14ac:dyDescent="0.55000000000000004">
      <c r="A1398" t="str">
        <f t="shared" si="49"/>
        <v>39</v>
      </c>
      <c r="B1398" t="str">
        <f>"39.07"</f>
        <v>39.07</v>
      </c>
      <c r="C1398" t="s">
        <v>8</v>
      </c>
      <c r="D1398" t="s">
        <v>12</v>
      </c>
      <c r="E1398" t="s">
        <v>3088</v>
      </c>
      <c r="F1398" t="s">
        <v>3089</v>
      </c>
    </row>
    <row r="1399" spans="1:8" x14ac:dyDescent="0.55000000000000004">
      <c r="A1399" t="str">
        <f t="shared" si="49"/>
        <v>39</v>
      </c>
      <c r="B1399" t="str">
        <f>"39.0701"</f>
        <v>39.0701</v>
      </c>
      <c r="C1399" t="s">
        <v>8</v>
      </c>
      <c r="D1399" t="s">
        <v>12</v>
      </c>
      <c r="E1399" t="s">
        <v>3090</v>
      </c>
      <c r="F1399" t="s">
        <v>3091</v>
      </c>
      <c r="G1399" t="s">
        <v>3092</v>
      </c>
      <c r="H1399" t="s">
        <v>3093</v>
      </c>
    </row>
    <row r="1400" spans="1:8" x14ac:dyDescent="0.55000000000000004">
      <c r="A1400" t="str">
        <f t="shared" si="49"/>
        <v>39</v>
      </c>
      <c r="B1400" t="str">
        <f>"39.0702"</f>
        <v>39.0702</v>
      </c>
      <c r="C1400" t="s">
        <v>8</v>
      </c>
      <c r="D1400" t="s">
        <v>12</v>
      </c>
      <c r="E1400" t="s">
        <v>3094</v>
      </c>
      <c r="F1400" t="s">
        <v>3095</v>
      </c>
      <c r="H1400" t="s">
        <v>3096</v>
      </c>
    </row>
    <row r="1401" spans="1:8" x14ac:dyDescent="0.55000000000000004">
      <c r="A1401" t="str">
        <f t="shared" si="49"/>
        <v>39</v>
      </c>
      <c r="B1401" t="str">
        <f>"39.0703"</f>
        <v>39.0703</v>
      </c>
      <c r="C1401" t="s">
        <v>8</v>
      </c>
      <c r="D1401" t="s">
        <v>12</v>
      </c>
      <c r="E1401" t="s">
        <v>3097</v>
      </c>
      <c r="F1401" t="s">
        <v>3098</v>
      </c>
    </row>
    <row r="1402" spans="1:8" x14ac:dyDescent="0.55000000000000004">
      <c r="A1402" t="str">
        <f t="shared" si="49"/>
        <v>39</v>
      </c>
      <c r="B1402" t="str">
        <f>"39.0704"</f>
        <v>39.0704</v>
      </c>
      <c r="C1402" t="s">
        <v>8</v>
      </c>
      <c r="D1402" t="s">
        <v>12</v>
      </c>
      <c r="E1402" t="s">
        <v>3099</v>
      </c>
      <c r="F1402" t="s">
        <v>3100</v>
      </c>
    </row>
    <row r="1403" spans="1:8" x14ac:dyDescent="0.55000000000000004">
      <c r="A1403" t="str">
        <f t="shared" si="49"/>
        <v>39</v>
      </c>
      <c r="B1403" t="str">
        <f>"39.0705"</f>
        <v>39.0705</v>
      </c>
      <c r="C1403" t="s">
        <v>8</v>
      </c>
      <c r="D1403" t="s">
        <v>12</v>
      </c>
      <c r="E1403" t="s">
        <v>3101</v>
      </c>
      <c r="F1403" t="s">
        <v>3102</v>
      </c>
    </row>
    <row r="1404" spans="1:8" x14ac:dyDescent="0.55000000000000004">
      <c r="A1404" t="str">
        <f t="shared" si="49"/>
        <v>39</v>
      </c>
      <c r="B1404" t="str">
        <f>"39.0706"</f>
        <v>39.0706</v>
      </c>
      <c r="C1404" t="s">
        <v>47</v>
      </c>
      <c r="D1404" t="s">
        <v>12</v>
      </c>
      <c r="E1404" t="s">
        <v>3103</v>
      </c>
      <c r="F1404" t="s">
        <v>3104</v>
      </c>
    </row>
    <row r="1405" spans="1:8" x14ac:dyDescent="0.55000000000000004">
      <c r="A1405" t="str">
        <f t="shared" si="49"/>
        <v>39</v>
      </c>
      <c r="B1405" t="str">
        <f>"39.0799"</f>
        <v>39.0799</v>
      </c>
      <c r="C1405" t="s">
        <v>8</v>
      </c>
      <c r="D1405" t="s">
        <v>12</v>
      </c>
      <c r="E1405" t="s">
        <v>3105</v>
      </c>
      <c r="F1405" t="s">
        <v>3106</v>
      </c>
    </row>
    <row r="1406" spans="1:8" x14ac:dyDescent="0.55000000000000004">
      <c r="A1406" t="str">
        <f t="shared" si="49"/>
        <v>39</v>
      </c>
      <c r="B1406" t="str">
        <f>"39.08"</f>
        <v>39.08</v>
      </c>
      <c r="C1406" t="s">
        <v>47</v>
      </c>
      <c r="D1406" t="s">
        <v>12</v>
      </c>
      <c r="E1406" t="s">
        <v>3107</v>
      </c>
      <c r="F1406" t="s">
        <v>3108</v>
      </c>
    </row>
    <row r="1407" spans="1:8" x14ac:dyDescent="0.55000000000000004">
      <c r="A1407" t="str">
        <f t="shared" si="49"/>
        <v>39</v>
      </c>
      <c r="B1407" t="str">
        <f>"39.0801"</f>
        <v>39.0801</v>
      </c>
      <c r="C1407" t="s">
        <v>47</v>
      </c>
      <c r="D1407" t="s">
        <v>12</v>
      </c>
      <c r="E1407" t="s">
        <v>3109</v>
      </c>
      <c r="F1407" t="s">
        <v>3110</v>
      </c>
      <c r="G1407" t="s">
        <v>3111</v>
      </c>
      <c r="H1407" t="s">
        <v>3112</v>
      </c>
    </row>
    <row r="1408" spans="1:8" x14ac:dyDescent="0.55000000000000004">
      <c r="A1408" t="str">
        <f t="shared" si="49"/>
        <v>39</v>
      </c>
      <c r="B1408" t="str">
        <f>"39.0802"</f>
        <v>39.0802</v>
      </c>
      <c r="C1408" t="s">
        <v>47</v>
      </c>
      <c r="D1408" t="s">
        <v>12</v>
      </c>
      <c r="E1408" t="s">
        <v>3113</v>
      </c>
      <c r="F1408" t="s">
        <v>3114</v>
      </c>
    </row>
    <row r="1409" spans="1:8" x14ac:dyDescent="0.55000000000000004">
      <c r="A1409" t="str">
        <f t="shared" si="49"/>
        <v>39</v>
      </c>
      <c r="B1409" t="str">
        <f>"39.0899"</f>
        <v>39.0899</v>
      </c>
      <c r="C1409" t="s">
        <v>47</v>
      </c>
      <c r="D1409" t="s">
        <v>12</v>
      </c>
      <c r="E1409" t="s">
        <v>3115</v>
      </c>
      <c r="F1409" t="s">
        <v>3116</v>
      </c>
    </row>
    <row r="1410" spans="1:8" x14ac:dyDescent="0.55000000000000004">
      <c r="A1410" t="str">
        <f t="shared" si="49"/>
        <v>39</v>
      </c>
      <c r="B1410" t="str">
        <f>"39.99"</f>
        <v>39.99</v>
      </c>
      <c r="C1410" t="s">
        <v>8</v>
      </c>
      <c r="D1410" t="s">
        <v>12</v>
      </c>
      <c r="E1410" t="s">
        <v>3117</v>
      </c>
      <c r="F1410" t="s">
        <v>3118</v>
      </c>
    </row>
    <row r="1411" spans="1:8" x14ac:dyDescent="0.55000000000000004">
      <c r="A1411" t="str">
        <f t="shared" si="49"/>
        <v>39</v>
      </c>
      <c r="B1411" t="str">
        <f>"39.9999"</f>
        <v>39.9999</v>
      </c>
      <c r="C1411" t="s">
        <v>8</v>
      </c>
      <c r="D1411" t="s">
        <v>12</v>
      </c>
      <c r="E1411" t="s">
        <v>3117</v>
      </c>
      <c r="F1411" t="s">
        <v>3119</v>
      </c>
      <c r="H1411" t="s">
        <v>3120</v>
      </c>
    </row>
    <row r="1412" spans="1:8" x14ac:dyDescent="0.55000000000000004">
      <c r="A1412" t="str">
        <f>"40"</f>
        <v>40</v>
      </c>
      <c r="B1412" t="str">
        <f>"40"</f>
        <v>40</v>
      </c>
      <c r="C1412" t="s">
        <v>8</v>
      </c>
      <c r="D1412" t="s">
        <v>12</v>
      </c>
      <c r="E1412" t="s">
        <v>3121</v>
      </c>
      <c r="F1412" t="s">
        <v>3122</v>
      </c>
    </row>
    <row r="1413" spans="1:8" x14ac:dyDescent="0.55000000000000004">
      <c r="A1413" t="str">
        <f t="shared" ref="A1413:A1444" si="50">"40"</f>
        <v>40</v>
      </c>
      <c r="B1413" t="str">
        <f>"40.01"</f>
        <v>40.01</v>
      </c>
      <c r="C1413" t="s">
        <v>8</v>
      </c>
      <c r="D1413" t="s">
        <v>9</v>
      </c>
      <c r="E1413" t="s">
        <v>3123</v>
      </c>
      <c r="F1413" t="s">
        <v>3124</v>
      </c>
    </row>
    <row r="1414" spans="1:8" x14ac:dyDescent="0.55000000000000004">
      <c r="A1414" t="str">
        <f t="shared" si="50"/>
        <v>40</v>
      </c>
      <c r="B1414" t="str">
        <f>"40.0101"</f>
        <v>40.0101</v>
      </c>
      <c r="C1414" t="s">
        <v>8</v>
      </c>
      <c r="D1414" t="s">
        <v>9</v>
      </c>
      <c r="E1414" t="s">
        <v>3123</v>
      </c>
      <c r="F1414" t="s">
        <v>3125</v>
      </c>
    </row>
    <row r="1415" spans="1:8" x14ac:dyDescent="0.55000000000000004">
      <c r="A1415" t="str">
        <f t="shared" si="50"/>
        <v>40</v>
      </c>
      <c r="B1415" t="str">
        <f>"40.02"</f>
        <v>40.02</v>
      </c>
      <c r="C1415" t="s">
        <v>8</v>
      </c>
      <c r="D1415" t="s">
        <v>12</v>
      </c>
      <c r="E1415" t="s">
        <v>3126</v>
      </c>
      <c r="F1415" t="s">
        <v>3127</v>
      </c>
    </row>
    <row r="1416" spans="1:8" x14ac:dyDescent="0.55000000000000004">
      <c r="A1416" t="str">
        <f t="shared" si="50"/>
        <v>40</v>
      </c>
      <c r="B1416" t="str">
        <f>"40.0201"</f>
        <v>40.0201</v>
      </c>
      <c r="C1416" t="s">
        <v>8</v>
      </c>
      <c r="D1416" t="s">
        <v>12</v>
      </c>
      <c r="E1416" t="s">
        <v>3128</v>
      </c>
      <c r="F1416" t="s">
        <v>3129</v>
      </c>
    </row>
    <row r="1417" spans="1:8" x14ac:dyDescent="0.55000000000000004">
      <c r="A1417" t="str">
        <f t="shared" si="50"/>
        <v>40</v>
      </c>
      <c r="B1417" t="str">
        <f>"40.0202"</f>
        <v>40.0202</v>
      </c>
      <c r="C1417" t="s">
        <v>8</v>
      </c>
      <c r="D1417" t="s">
        <v>12</v>
      </c>
      <c r="E1417" t="s">
        <v>3130</v>
      </c>
      <c r="F1417" t="s">
        <v>3131</v>
      </c>
      <c r="G1417" t="s">
        <v>3132</v>
      </c>
    </row>
    <row r="1418" spans="1:8" x14ac:dyDescent="0.55000000000000004">
      <c r="A1418" t="str">
        <f t="shared" si="50"/>
        <v>40</v>
      </c>
      <c r="B1418" t="str">
        <f>"40.0203"</f>
        <v>40.0203</v>
      </c>
      <c r="C1418" t="s">
        <v>8</v>
      </c>
      <c r="D1418" t="s">
        <v>12</v>
      </c>
      <c r="E1418" t="s">
        <v>3133</v>
      </c>
      <c r="F1418" t="s">
        <v>3134</v>
      </c>
    </row>
    <row r="1419" spans="1:8" x14ac:dyDescent="0.55000000000000004">
      <c r="A1419" t="str">
        <f t="shared" si="50"/>
        <v>40</v>
      </c>
      <c r="B1419" t="str">
        <f>"40.0299"</f>
        <v>40.0299</v>
      </c>
      <c r="C1419" t="s">
        <v>8</v>
      </c>
      <c r="D1419" t="s">
        <v>12</v>
      </c>
      <c r="E1419" t="s">
        <v>3135</v>
      </c>
      <c r="F1419" t="s">
        <v>3136</v>
      </c>
    </row>
    <row r="1420" spans="1:8" x14ac:dyDescent="0.55000000000000004">
      <c r="A1420" t="str">
        <f t="shared" si="50"/>
        <v>40</v>
      </c>
      <c r="B1420" t="str">
        <f>"40.04"</f>
        <v>40.04</v>
      </c>
      <c r="C1420" t="s">
        <v>8</v>
      </c>
      <c r="D1420" t="s">
        <v>12</v>
      </c>
      <c r="E1420" t="s">
        <v>3137</v>
      </c>
      <c r="F1420" t="s">
        <v>3138</v>
      </c>
    </row>
    <row r="1421" spans="1:8" x14ac:dyDescent="0.55000000000000004">
      <c r="A1421" t="str">
        <f t="shared" si="50"/>
        <v>40</v>
      </c>
      <c r="B1421" t="str">
        <f>"40.0401"</f>
        <v>40.0401</v>
      </c>
      <c r="C1421" t="s">
        <v>8</v>
      </c>
      <c r="D1421" t="s">
        <v>12</v>
      </c>
      <c r="E1421" t="s">
        <v>3139</v>
      </c>
      <c r="F1421" t="s">
        <v>3140</v>
      </c>
      <c r="H1421" t="s">
        <v>3141</v>
      </c>
    </row>
    <row r="1422" spans="1:8" x14ac:dyDescent="0.55000000000000004">
      <c r="A1422" t="str">
        <f t="shared" si="50"/>
        <v>40</v>
      </c>
      <c r="B1422" t="str">
        <f>"40.0402"</f>
        <v>40.0402</v>
      </c>
      <c r="C1422" t="s">
        <v>8</v>
      </c>
      <c r="D1422" t="s">
        <v>12</v>
      </c>
      <c r="E1422" t="s">
        <v>3142</v>
      </c>
      <c r="F1422" t="s">
        <v>3143</v>
      </c>
    </row>
    <row r="1423" spans="1:8" x14ac:dyDescent="0.55000000000000004">
      <c r="A1423" t="str">
        <f t="shared" si="50"/>
        <v>40</v>
      </c>
      <c r="B1423" t="str">
        <f>"40.0403"</f>
        <v>40.0403</v>
      </c>
      <c r="C1423" t="s">
        <v>8</v>
      </c>
      <c r="D1423" t="s">
        <v>12</v>
      </c>
      <c r="E1423" t="s">
        <v>3144</v>
      </c>
      <c r="F1423" t="s">
        <v>3145</v>
      </c>
      <c r="H1423" t="s">
        <v>3146</v>
      </c>
    </row>
    <row r="1424" spans="1:8" x14ac:dyDescent="0.55000000000000004">
      <c r="A1424" t="str">
        <f t="shared" si="50"/>
        <v>40</v>
      </c>
      <c r="B1424" t="str">
        <f>"40.0404"</f>
        <v>40.0404</v>
      </c>
      <c r="C1424" t="s">
        <v>8</v>
      </c>
      <c r="D1424" t="s">
        <v>12</v>
      </c>
      <c r="E1424" t="s">
        <v>3147</v>
      </c>
      <c r="F1424" t="s">
        <v>3148</v>
      </c>
    </row>
    <row r="1425" spans="1:8" x14ac:dyDescent="0.55000000000000004">
      <c r="A1425" t="str">
        <f t="shared" si="50"/>
        <v>40</v>
      </c>
      <c r="B1425" t="str">
        <f>"40.0499"</f>
        <v>40.0499</v>
      </c>
      <c r="C1425" t="s">
        <v>8</v>
      </c>
      <c r="D1425" t="s">
        <v>12</v>
      </c>
      <c r="E1425" t="s">
        <v>3149</v>
      </c>
      <c r="F1425" t="s">
        <v>3150</v>
      </c>
    </row>
    <row r="1426" spans="1:8" x14ac:dyDescent="0.55000000000000004">
      <c r="A1426" t="str">
        <f t="shared" si="50"/>
        <v>40</v>
      </c>
      <c r="B1426" t="str">
        <f>"40.05"</f>
        <v>40.05</v>
      </c>
      <c r="C1426" t="s">
        <v>8</v>
      </c>
      <c r="D1426" t="s">
        <v>12</v>
      </c>
      <c r="E1426" t="s">
        <v>3151</v>
      </c>
      <c r="F1426" t="s">
        <v>3152</v>
      </c>
    </row>
    <row r="1427" spans="1:8" x14ac:dyDescent="0.55000000000000004">
      <c r="A1427" t="str">
        <f t="shared" si="50"/>
        <v>40</v>
      </c>
      <c r="B1427" t="str">
        <f>"40.0501"</f>
        <v>40.0501</v>
      </c>
      <c r="C1427" t="s">
        <v>8</v>
      </c>
      <c r="D1427" t="s">
        <v>12</v>
      </c>
      <c r="E1427" t="s">
        <v>3153</v>
      </c>
      <c r="F1427" t="s">
        <v>3154</v>
      </c>
      <c r="G1427" t="s">
        <v>3155</v>
      </c>
    </row>
    <row r="1428" spans="1:8" x14ac:dyDescent="0.55000000000000004">
      <c r="A1428" t="str">
        <f t="shared" si="50"/>
        <v>40</v>
      </c>
      <c r="B1428" t="str">
        <f>"40.0502"</f>
        <v>40.0502</v>
      </c>
      <c r="C1428" t="s">
        <v>8</v>
      </c>
      <c r="D1428" t="s">
        <v>12</v>
      </c>
      <c r="E1428" t="s">
        <v>3156</v>
      </c>
      <c r="F1428" t="s">
        <v>3157</v>
      </c>
    </row>
    <row r="1429" spans="1:8" x14ac:dyDescent="0.55000000000000004">
      <c r="A1429" t="str">
        <f t="shared" si="50"/>
        <v>40</v>
      </c>
      <c r="B1429" t="str">
        <f>"40.0503"</f>
        <v>40.0503</v>
      </c>
      <c r="C1429" t="s">
        <v>8</v>
      </c>
      <c r="D1429" t="s">
        <v>12</v>
      </c>
      <c r="E1429" t="s">
        <v>3158</v>
      </c>
      <c r="F1429" t="s">
        <v>3159</v>
      </c>
    </row>
    <row r="1430" spans="1:8" x14ac:dyDescent="0.55000000000000004">
      <c r="A1430" t="str">
        <f t="shared" si="50"/>
        <v>40</v>
      </c>
      <c r="B1430" t="str">
        <f>"40.0504"</f>
        <v>40.0504</v>
      </c>
      <c r="C1430" t="s">
        <v>8</v>
      </c>
      <c r="D1430" t="s">
        <v>12</v>
      </c>
      <c r="E1430" t="s">
        <v>3160</v>
      </c>
      <c r="F1430" t="s">
        <v>3161</v>
      </c>
    </row>
    <row r="1431" spans="1:8" x14ac:dyDescent="0.55000000000000004">
      <c r="A1431" t="str">
        <f t="shared" si="50"/>
        <v>40</v>
      </c>
      <c r="B1431" t="str">
        <f>"40.0506"</f>
        <v>40.0506</v>
      </c>
      <c r="C1431" t="s">
        <v>8</v>
      </c>
      <c r="D1431" t="s">
        <v>12</v>
      </c>
      <c r="E1431" t="s">
        <v>3162</v>
      </c>
      <c r="F1431" t="s">
        <v>3163</v>
      </c>
    </row>
    <row r="1432" spans="1:8" x14ac:dyDescent="0.55000000000000004">
      <c r="A1432" t="str">
        <f t="shared" si="50"/>
        <v>40</v>
      </c>
      <c r="B1432" t="str">
        <f>"40.0507"</f>
        <v>40.0507</v>
      </c>
      <c r="C1432" t="s">
        <v>8</v>
      </c>
      <c r="D1432" t="s">
        <v>12</v>
      </c>
      <c r="E1432" t="s">
        <v>3164</v>
      </c>
      <c r="F1432" t="s">
        <v>3165</v>
      </c>
      <c r="G1432" t="s">
        <v>3166</v>
      </c>
    </row>
    <row r="1433" spans="1:8" x14ac:dyDescent="0.55000000000000004">
      <c r="A1433" t="str">
        <f t="shared" si="50"/>
        <v>40</v>
      </c>
      <c r="B1433" t="str">
        <f>"40.0508"</f>
        <v>40.0508</v>
      </c>
      <c r="C1433" t="s">
        <v>8</v>
      </c>
      <c r="D1433" t="s">
        <v>12</v>
      </c>
      <c r="E1433" t="s">
        <v>3167</v>
      </c>
      <c r="F1433" t="s">
        <v>3168</v>
      </c>
    </row>
    <row r="1434" spans="1:8" x14ac:dyDescent="0.55000000000000004">
      <c r="A1434" t="str">
        <f t="shared" si="50"/>
        <v>40</v>
      </c>
      <c r="B1434" t="str">
        <f>"40.0509"</f>
        <v>40.0509</v>
      </c>
      <c r="C1434" t="s">
        <v>8</v>
      </c>
      <c r="D1434" t="s">
        <v>12</v>
      </c>
      <c r="E1434" t="s">
        <v>3169</v>
      </c>
      <c r="F1434" t="s">
        <v>3170</v>
      </c>
    </row>
    <row r="1435" spans="1:8" x14ac:dyDescent="0.55000000000000004">
      <c r="A1435" t="str">
        <f t="shared" si="50"/>
        <v>40</v>
      </c>
      <c r="B1435" t="str">
        <f>"40.0510"</f>
        <v>40.0510</v>
      </c>
      <c r="C1435" t="s">
        <v>8</v>
      </c>
      <c r="D1435" t="s">
        <v>12</v>
      </c>
      <c r="E1435" t="s">
        <v>3171</v>
      </c>
      <c r="F1435" t="s">
        <v>3172</v>
      </c>
      <c r="G1435" t="s">
        <v>3173</v>
      </c>
    </row>
    <row r="1436" spans="1:8" x14ac:dyDescent="0.55000000000000004">
      <c r="A1436" t="str">
        <f t="shared" si="50"/>
        <v>40</v>
      </c>
      <c r="B1436" t="str">
        <f>"40.0511"</f>
        <v>40.0511</v>
      </c>
      <c r="C1436" t="s">
        <v>8</v>
      </c>
      <c r="D1436" t="s">
        <v>12</v>
      </c>
      <c r="E1436" t="s">
        <v>3174</v>
      </c>
      <c r="F1436" t="s">
        <v>3175</v>
      </c>
      <c r="G1436" t="s">
        <v>3176</v>
      </c>
    </row>
    <row r="1437" spans="1:8" x14ac:dyDescent="0.55000000000000004">
      <c r="A1437" t="str">
        <f t="shared" si="50"/>
        <v>40</v>
      </c>
      <c r="B1437" t="str">
        <f>"40.0512"</f>
        <v>40.0512</v>
      </c>
      <c r="C1437" t="s">
        <v>47</v>
      </c>
      <c r="D1437" t="s">
        <v>12</v>
      </c>
      <c r="E1437" t="s">
        <v>3177</v>
      </c>
      <c r="F1437" t="s">
        <v>3178</v>
      </c>
      <c r="H1437" t="s">
        <v>3179</v>
      </c>
    </row>
    <row r="1438" spans="1:8" x14ac:dyDescent="0.55000000000000004">
      <c r="A1438" t="str">
        <f t="shared" si="50"/>
        <v>40</v>
      </c>
      <c r="B1438" t="str">
        <f>"40.0599"</f>
        <v>40.0599</v>
      </c>
      <c r="C1438" t="s">
        <v>8</v>
      </c>
      <c r="D1438" t="s">
        <v>12</v>
      </c>
      <c r="E1438" t="s">
        <v>3180</v>
      </c>
      <c r="F1438" t="s">
        <v>3181</v>
      </c>
    </row>
    <row r="1439" spans="1:8" x14ac:dyDescent="0.55000000000000004">
      <c r="A1439" t="str">
        <f t="shared" si="50"/>
        <v>40</v>
      </c>
      <c r="B1439" t="str">
        <f>"40.06"</f>
        <v>40.06</v>
      </c>
      <c r="C1439" t="s">
        <v>8</v>
      </c>
      <c r="D1439" t="s">
        <v>12</v>
      </c>
      <c r="E1439" t="s">
        <v>3182</v>
      </c>
      <c r="F1439" t="s">
        <v>3183</v>
      </c>
    </row>
    <row r="1440" spans="1:8" x14ac:dyDescent="0.55000000000000004">
      <c r="A1440" t="str">
        <f t="shared" si="50"/>
        <v>40</v>
      </c>
      <c r="B1440" t="str">
        <f>"40.0601"</f>
        <v>40.0601</v>
      </c>
      <c r="C1440" t="s">
        <v>8</v>
      </c>
      <c r="D1440" t="s">
        <v>12</v>
      </c>
      <c r="E1440" t="s">
        <v>3184</v>
      </c>
      <c r="F1440" t="s">
        <v>3185</v>
      </c>
      <c r="G1440" t="s">
        <v>3186</v>
      </c>
    </row>
    <row r="1441" spans="1:8" x14ac:dyDescent="0.55000000000000004">
      <c r="A1441" t="str">
        <f t="shared" si="50"/>
        <v>40</v>
      </c>
      <c r="B1441" t="str">
        <f>"40.0602"</f>
        <v>40.0602</v>
      </c>
      <c r="C1441" t="s">
        <v>8</v>
      </c>
      <c r="D1441" t="s">
        <v>12</v>
      </c>
      <c r="E1441" t="s">
        <v>3187</v>
      </c>
      <c r="F1441" t="s">
        <v>3188</v>
      </c>
    </row>
    <row r="1442" spans="1:8" x14ac:dyDescent="0.55000000000000004">
      <c r="A1442" t="str">
        <f t="shared" si="50"/>
        <v>40</v>
      </c>
      <c r="B1442" t="str">
        <f>"40.0603"</f>
        <v>40.0603</v>
      </c>
      <c r="C1442" t="s">
        <v>8</v>
      </c>
      <c r="D1442" t="s">
        <v>12</v>
      </c>
      <c r="E1442" t="s">
        <v>3189</v>
      </c>
      <c r="F1442" t="s">
        <v>3190</v>
      </c>
    </row>
    <row r="1443" spans="1:8" x14ac:dyDescent="0.55000000000000004">
      <c r="A1443" t="str">
        <f t="shared" si="50"/>
        <v>40</v>
      </c>
      <c r="B1443" t="str">
        <f>"40.0604"</f>
        <v>40.0604</v>
      </c>
      <c r="C1443" t="s">
        <v>8</v>
      </c>
      <c r="D1443" t="s">
        <v>12</v>
      </c>
      <c r="E1443" t="s">
        <v>3191</v>
      </c>
      <c r="F1443" t="s">
        <v>3192</v>
      </c>
    </row>
    <row r="1444" spans="1:8" x14ac:dyDescent="0.55000000000000004">
      <c r="A1444" t="str">
        <f t="shared" si="50"/>
        <v>40</v>
      </c>
      <c r="B1444" t="str">
        <f>"40.0605"</f>
        <v>40.0605</v>
      </c>
      <c r="C1444" t="s">
        <v>8</v>
      </c>
      <c r="D1444" t="s">
        <v>12</v>
      </c>
      <c r="E1444" t="s">
        <v>3193</v>
      </c>
      <c r="F1444" t="s">
        <v>3194</v>
      </c>
      <c r="G1444" t="s">
        <v>3195</v>
      </c>
      <c r="H1444" t="s">
        <v>3196</v>
      </c>
    </row>
    <row r="1445" spans="1:8" x14ac:dyDescent="0.55000000000000004">
      <c r="A1445" t="str">
        <f t="shared" ref="A1445:A1466" si="51">"40"</f>
        <v>40</v>
      </c>
      <c r="B1445" t="str">
        <f>"40.0606"</f>
        <v>40.0606</v>
      </c>
      <c r="C1445" t="s">
        <v>8</v>
      </c>
      <c r="D1445" t="s">
        <v>12</v>
      </c>
      <c r="E1445" t="s">
        <v>3197</v>
      </c>
      <c r="F1445" t="s">
        <v>3198</v>
      </c>
    </row>
    <row r="1446" spans="1:8" x14ac:dyDescent="0.55000000000000004">
      <c r="A1446" t="str">
        <f t="shared" si="51"/>
        <v>40</v>
      </c>
      <c r="B1446" t="str">
        <f>"40.0607"</f>
        <v>40.0607</v>
      </c>
      <c r="C1446" t="s">
        <v>8</v>
      </c>
      <c r="D1446" t="s">
        <v>12</v>
      </c>
      <c r="E1446" t="s">
        <v>3199</v>
      </c>
      <c r="F1446" t="s">
        <v>3200</v>
      </c>
      <c r="G1446" t="s">
        <v>2667</v>
      </c>
    </row>
    <row r="1447" spans="1:8" x14ac:dyDescent="0.55000000000000004">
      <c r="A1447" t="str">
        <f t="shared" si="51"/>
        <v>40</v>
      </c>
      <c r="B1447" t="str">
        <f>"40.0699"</f>
        <v>40.0699</v>
      </c>
      <c r="C1447" t="s">
        <v>8</v>
      </c>
      <c r="D1447" t="s">
        <v>12</v>
      </c>
      <c r="E1447" t="s">
        <v>3201</v>
      </c>
      <c r="F1447" t="s">
        <v>3202</v>
      </c>
      <c r="H1447" t="s">
        <v>3203</v>
      </c>
    </row>
    <row r="1448" spans="1:8" x14ac:dyDescent="0.55000000000000004">
      <c r="A1448" t="str">
        <f t="shared" si="51"/>
        <v>40</v>
      </c>
      <c r="B1448" t="str">
        <f>"40.08"</f>
        <v>40.08</v>
      </c>
      <c r="C1448" t="s">
        <v>8</v>
      </c>
      <c r="D1448" t="s">
        <v>12</v>
      </c>
      <c r="E1448" t="s">
        <v>3204</v>
      </c>
      <c r="F1448" t="s">
        <v>3205</v>
      </c>
    </row>
    <row r="1449" spans="1:8" x14ac:dyDescent="0.55000000000000004">
      <c r="A1449" t="str">
        <f t="shared" si="51"/>
        <v>40</v>
      </c>
      <c r="B1449" t="str">
        <f>"40.0801"</f>
        <v>40.0801</v>
      </c>
      <c r="C1449" t="s">
        <v>8</v>
      </c>
      <c r="D1449" t="s">
        <v>12</v>
      </c>
      <c r="E1449" t="s">
        <v>3206</v>
      </c>
      <c r="F1449" t="s">
        <v>3207</v>
      </c>
      <c r="G1449" t="s">
        <v>3208</v>
      </c>
    </row>
    <row r="1450" spans="1:8" x14ac:dyDescent="0.55000000000000004">
      <c r="A1450" t="str">
        <f t="shared" si="51"/>
        <v>40</v>
      </c>
      <c r="B1450" t="str">
        <f>"40.0802"</f>
        <v>40.0802</v>
      </c>
      <c r="C1450" t="s">
        <v>8</v>
      </c>
      <c r="D1450" t="s">
        <v>12</v>
      </c>
      <c r="E1450" t="s">
        <v>3209</v>
      </c>
      <c r="F1450" t="s">
        <v>3210</v>
      </c>
    </row>
    <row r="1451" spans="1:8" x14ac:dyDescent="0.55000000000000004">
      <c r="A1451" t="str">
        <f t="shared" si="51"/>
        <v>40</v>
      </c>
      <c r="B1451" t="str">
        <f>"40.0804"</f>
        <v>40.0804</v>
      </c>
      <c r="C1451" t="s">
        <v>8</v>
      </c>
      <c r="D1451" t="s">
        <v>12</v>
      </c>
      <c r="E1451" t="s">
        <v>3211</v>
      </c>
      <c r="F1451" t="s">
        <v>3212</v>
      </c>
    </row>
    <row r="1452" spans="1:8" x14ac:dyDescent="0.55000000000000004">
      <c r="A1452" t="str">
        <f t="shared" si="51"/>
        <v>40</v>
      </c>
      <c r="B1452" t="str">
        <f>"40.0805"</f>
        <v>40.0805</v>
      </c>
      <c r="C1452" t="s">
        <v>8</v>
      </c>
      <c r="D1452" t="s">
        <v>12</v>
      </c>
      <c r="E1452" t="s">
        <v>3213</v>
      </c>
      <c r="F1452" t="s">
        <v>3214</v>
      </c>
    </row>
    <row r="1453" spans="1:8" x14ac:dyDescent="0.55000000000000004">
      <c r="A1453" t="str">
        <f t="shared" si="51"/>
        <v>40</v>
      </c>
      <c r="B1453" t="str">
        <f>"40.0806"</f>
        <v>40.0806</v>
      </c>
      <c r="C1453" t="s">
        <v>8</v>
      </c>
      <c r="D1453" t="s">
        <v>12</v>
      </c>
      <c r="E1453" t="s">
        <v>3215</v>
      </c>
      <c r="F1453" t="s">
        <v>3216</v>
      </c>
      <c r="G1453" t="s">
        <v>3217</v>
      </c>
      <c r="H1453" t="s">
        <v>3218</v>
      </c>
    </row>
    <row r="1454" spans="1:8" x14ac:dyDescent="0.55000000000000004">
      <c r="A1454" t="str">
        <f t="shared" si="51"/>
        <v>40</v>
      </c>
      <c r="B1454" t="str">
        <f>"40.0807"</f>
        <v>40.0807</v>
      </c>
      <c r="C1454" t="s">
        <v>8</v>
      </c>
      <c r="D1454" t="s">
        <v>12</v>
      </c>
      <c r="E1454" t="s">
        <v>3219</v>
      </c>
      <c r="F1454" t="s">
        <v>3220</v>
      </c>
      <c r="G1454" t="s">
        <v>3221</v>
      </c>
      <c r="H1454" t="s">
        <v>3222</v>
      </c>
    </row>
    <row r="1455" spans="1:8" x14ac:dyDescent="0.55000000000000004">
      <c r="A1455" t="str">
        <f t="shared" si="51"/>
        <v>40</v>
      </c>
      <c r="B1455" t="str">
        <f>"40.0808"</f>
        <v>40.0808</v>
      </c>
      <c r="C1455" t="s">
        <v>8</v>
      </c>
      <c r="D1455" t="s">
        <v>12</v>
      </c>
      <c r="E1455" t="s">
        <v>3223</v>
      </c>
      <c r="F1455" t="s">
        <v>3224</v>
      </c>
    </row>
    <row r="1456" spans="1:8" x14ac:dyDescent="0.55000000000000004">
      <c r="A1456" t="str">
        <f t="shared" si="51"/>
        <v>40</v>
      </c>
      <c r="B1456" t="str">
        <f>"40.0809"</f>
        <v>40.0809</v>
      </c>
      <c r="C1456" t="s">
        <v>8</v>
      </c>
      <c r="D1456" t="s">
        <v>12</v>
      </c>
      <c r="E1456" t="s">
        <v>3225</v>
      </c>
      <c r="F1456" t="s">
        <v>3226</v>
      </c>
    </row>
    <row r="1457" spans="1:8" x14ac:dyDescent="0.55000000000000004">
      <c r="A1457" t="str">
        <f t="shared" si="51"/>
        <v>40</v>
      </c>
      <c r="B1457" t="str">
        <f>"40.0810"</f>
        <v>40.0810</v>
      </c>
      <c r="C1457" t="s">
        <v>8</v>
      </c>
      <c r="D1457" t="s">
        <v>12</v>
      </c>
      <c r="E1457" t="s">
        <v>3227</v>
      </c>
      <c r="F1457" t="s">
        <v>3228</v>
      </c>
    </row>
    <row r="1458" spans="1:8" x14ac:dyDescent="0.55000000000000004">
      <c r="A1458" t="str">
        <f t="shared" si="51"/>
        <v>40</v>
      </c>
      <c r="B1458" t="str">
        <f>"40.0899"</f>
        <v>40.0899</v>
      </c>
      <c r="C1458" t="s">
        <v>8</v>
      </c>
      <c r="D1458" t="s">
        <v>12</v>
      </c>
      <c r="E1458" t="s">
        <v>3229</v>
      </c>
      <c r="F1458" t="s">
        <v>3230</v>
      </c>
      <c r="H1458" t="s">
        <v>3231</v>
      </c>
    </row>
    <row r="1459" spans="1:8" x14ac:dyDescent="0.55000000000000004">
      <c r="A1459" t="str">
        <f t="shared" si="51"/>
        <v>40</v>
      </c>
      <c r="B1459" t="str">
        <f>"40.10"</f>
        <v>40.10</v>
      </c>
      <c r="C1459" t="s">
        <v>8</v>
      </c>
      <c r="D1459" t="s">
        <v>12</v>
      </c>
      <c r="E1459" t="s">
        <v>3232</v>
      </c>
      <c r="F1459" t="s">
        <v>3233</v>
      </c>
    </row>
    <row r="1460" spans="1:8" x14ac:dyDescent="0.55000000000000004">
      <c r="A1460" t="str">
        <f t="shared" si="51"/>
        <v>40</v>
      </c>
      <c r="B1460" t="str">
        <f>"40.1001"</f>
        <v>40.1001</v>
      </c>
      <c r="C1460" t="s">
        <v>8</v>
      </c>
      <c r="D1460" t="s">
        <v>12</v>
      </c>
      <c r="E1460" t="s">
        <v>3234</v>
      </c>
      <c r="F1460" t="s">
        <v>3235</v>
      </c>
      <c r="G1460" t="s">
        <v>3236</v>
      </c>
      <c r="H1460" t="s">
        <v>3237</v>
      </c>
    </row>
    <row r="1461" spans="1:8" x14ac:dyDescent="0.55000000000000004">
      <c r="A1461" t="str">
        <f t="shared" si="51"/>
        <v>40</v>
      </c>
      <c r="B1461" t="str">
        <f>"40.1002"</f>
        <v>40.1002</v>
      </c>
      <c r="C1461" t="s">
        <v>8</v>
      </c>
      <c r="D1461" t="s">
        <v>12</v>
      </c>
      <c r="E1461" t="s">
        <v>3238</v>
      </c>
      <c r="F1461" t="s">
        <v>3239</v>
      </c>
      <c r="G1461" t="s">
        <v>3240</v>
      </c>
    </row>
    <row r="1462" spans="1:8" x14ac:dyDescent="0.55000000000000004">
      <c r="A1462" t="str">
        <f t="shared" si="51"/>
        <v>40</v>
      </c>
      <c r="B1462" t="str">
        <f>"40.1099"</f>
        <v>40.1099</v>
      </c>
      <c r="C1462" t="s">
        <v>8</v>
      </c>
      <c r="D1462" t="s">
        <v>12</v>
      </c>
      <c r="E1462" t="s">
        <v>3241</v>
      </c>
      <c r="F1462" t="s">
        <v>3242</v>
      </c>
    </row>
    <row r="1463" spans="1:8" x14ac:dyDescent="0.55000000000000004">
      <c r="A1463" t="str">
        <f t="shared" si="51"/>
        <v>40</v>
      </c>
      <c r="B1463" t="str">
        <f>"40.11"</f>
        <v>40.11</v>
      </c>
      <c r="C1463" t="s">
        <v>47</v>
      </c>
      <c r="D1463" t="s">
        <v>12</v>
      </c>
      <c r="E1463" t="s">
        <v>3243</v>
      </c>
      <c r="F1463" t="s">
        <v>3244</v>
      </c>
    </row>
    <row r="1464" spans="1:8" x14ac:dyDescent="0.55000000000000004">
      <c r="A1464" t="str">
        <f t="shared" si="51"/>
        <v>40</v>
      </c>
      <c r="B1464" t="str">
        <f>"40.1101"</f>
        <v>40.1101</v>
      </c>
      <c r="C1464" t="s">
        <v>47</v>
      </c>
      <c r="D1464" t="s">
        <v>12</v>
      </c>
      <c r="E1464" t="s">
        <v>3243</v>
      </c>
      <c r="F1464" t="s">
        <v>3245</v>
      </c>
      <c r="G1464" t="s">
        <v>3246</v>
      </c>
    </row>
    <row r="1465" spans="1:8" x14ac:dyDescent="0.55000000000000004">
      <c r="A1465" t="str">
        <f t="shared" si="51"/>
        <v>40</v>
      </c>
      <c r="B1465" t="str">
        <f>"40.99"</f>
        <v>40.99</v>
      </c>
      <c r="C1465" t="s">
        <v>8</v>
      </c>
      <c r="D1465" t="s">
        <v>12</v>
      </c>
      <c r="E1465" t="s">
        <v>3247</v>
      </c>
      <c r="F1465" t="s">
        <v>3248</v>
      </c>
    </row>
    <row r="1466" spans="1:8" x14ac:dyDescent="0.55000000000000004">
      <c r="A1466" t="str">
        <f t="shared" si="51"/>
        <v>40</v>
      </c>
      <c r="B1466" t="str">
        <f>"40.9999"</f>
        <v>40.9999</v>
      </c>
      <c r="C1466" t="s">
        <v>8</v>
      </c>
      <c r="D1466" t="s">
        <v>12</v>
      </c>
      <c r="E1466" t="s">
        <v>3247</v>
      </c>
      <c r="F1466" t="s">
        <v>3249</v>
      </c>
    </row>
    <row r="1467" spans="1:8" x14ac:dyDescent="0.55000000000000004">
      <c r="A1467" t="str">
        <f>"41"</f>
        <v>41</v>
      </c>
      <c r="B1467" t="str">
        <f>"41"</f>
        <v>41</v>
      </c>
      <c r="C1467" t="s">
        <v>8</v>
      </c>
      <c r="D1467" t="s">
        <v>12</v>
      </c>
      <c r="E1467" t="s">
        <v>3250</v>
      </c>
      <c r="F1467" t="s">
        <v>3251</v>
      </c>
    </row>
    <row r="1468" spans="1:8" x14ac:dyDescent="0.55000000000000004">
      <c r="A1468" t="str">
        <f t="shared" ref="A1468:A1481" si="52">"41"</f>
        <v>41</v>
      </c>
      <c r="B1468" t="str">
        <f>"41.00"</f>
        <v>41.00</v>
      </c>
      <c r="C1468" t="s">
        <v>8</v>
      </c>
      <c r="D1468" t="s">
        <v>12</v>
      </c>
      <c r="E1468" t="s">
        <v>3252</v>
      </c>
      <c r="F1468" t="s">
        <v>3253</v>
      </c>
    </row>
    <row r="1469" spans="1:8" x14ac:dyDescent="0.55000000000000004">
      <c r="A1469" t="str">
        <f t="shared" si="52"/>
        <v>41</v>
      </c>
      <c r="B1469" t="str">
        <f>"41.0000"</f>
        <v>41.0000</v>
      </c>
      <c r="C1469" t="s">
        <v>8</v>
      </c>
      <c r="D1469" t="s">
        <v>12</v>
      </c>
      <c r="E1469" t="s">
        <v>3252</v>
      </c>
      <c r="F1469" t="s">
        <v>3254</v>
      </c>
      <c r="H1469" t="s">
        <v>3255</v>
      </c>
    </row>
    <row r="1470" spans="1:8" x14ac:dyDescent="0.55000000000000004">
      <c r="A1470" t="str">
        <f t="shared" si="52"/>
        <v>41</v>
      </c>
      <c r="B1470" t="str">
        <f>"41.01"</f>
        <v>41.01</v>
      </c>
      <c r="C1470" t="s">
        <v>8</v>
      </c>
      <c r="D1470" t="s">
        <v>9</v>
      </c>
      <c r="E1470" t="s">
        <v>3256</v>
      </c>
      <c r="F1470" t="s">
        <v>3257</v>
      </c>
    </row>
    <row r="1471" spans="1:8" x14ac:dyDescent="0.55000000000000004">
      <c r="A1471" t="str">
        <f t="shared" si="52"/>
        <v>41</v>
      </c>
      <c r="B1471" t="str">
        <f>"41.0101"</f>
        <v>41.0101</v>
      </c>
      <c r="C1471" t="s">
        <v>8</v>
      </c>
      <c r="D1471" t="s">
        <v>9</v>
      </c>
      <c r="E1471" t="s">
        <v>3258</v>
      </c>
      <c r="F1471" t="s">
        <v>3259</v>
      </c>
      <c r="G1471" t="s">
        <v>3260</v>
      </c>
      <c r="H1471" t="s">
        <v>3261</v>
      </c>
    </row>
    <row r="1472" spans="1:8" x14ac:dyDescent="0.55000000000000004">
      <c r="A1472" t="str">
        <f t="shared" si="52"/>
        <v>41</v>
      </c>
      <c r="B1472" t="str">
        <f>"41.02"</f>
        <v>41.02</v>
      </c>
      <c r="C1472" t="s">
        <v>8</v>
      </c>
      <c r="D1472" t="s">
        <v>12</v>
      </c>
      <c r="E1472" t="s">
        <v>3262</v>
      </c>
      <c r="F1472" t="s">
        <v>3263</v>
      </c>
    </row>
    <row r="1473" spans="1:8" x14ac:dyDescent="0.55000000000000004">
      <c r="A1473" t="str">
        <f t="shared" si="52"/>
        <v>41</v>
      </c>
      <c r="B1473" t="str">
        <f>"41.0204"</f>
        <v>41.0204</v>
      </c>
      <c r="C1473" t="s">
        <v>8</v>
      </c>
      <c r="D1473" t="s">
        <v>12</v>
      </c>
      <c r="E1473" t="s">
        <v>3264</v>
      </c>
      <c r="F1473" t="s">
        <v>3265</v>
      </c>
    </row>
    <row r="1474" spans="1:8" x14ac:dyDescent="0.55000000000000004">
      <c r="A1474" t="str">
        <f t="shared" si="52"/>
        <v>41</v>
      </c>
      <c r="B1474" t="str">
        <f>"41.0205"</f>
        <v>41.0205</v>
      </c>
      <c r="C1474" t="s">
        <v>8</v>
      </c>
      <c r="D1474" t="s">
        <v>12</v>
      </c>
      <c r="E1474" t="s">
        <v>3266</v>
      </c>
      <c r="F1474" t="s">
        <v>3267</v>
      </c>
    </row>
    <row r="1475" spans="1:8" x14ac:dyDescent="0.55000000000000004">
      <c r="A1475" t="str">
        <f t="shared" si="52"/>
        <v>41</v>
      </c>
      <c r="B1475" t="str">
        <f>"41.0299"</f>
        <v>41.0299</v>
      </c>
      <c r="C1475" t="s">
        <v>8</v>
      </c>
      <c r="D1475" t="s">
        <v>12</v>
      </c>
      <c r="E1475" t="s">
        <v>3268</v>
      </c>
      <c r="F1475" t="s">
        <v>3269</v>
      </c>
    </row>
    <row r="1476" spans="1:8" x14ac:dyDescent="0.55000000000000004">
      <c r="A1476" t="str">
        <f t="shared" si="52"/>
        <v>41</v>
      </c>
      <c r="B1476" t="str">
        <f>"41.03"</f>
        <v>41.03</v>
      </c>
      <c r="C1476" t="s">
        <v>8</v>
      </c>
      <c r="D1476" t="s">
        <v>12</v>
      </c>
      <c r="E1476" t="s">
        <v>3270</v>
      </c>
      <c r="F1476" t="s">
        <v>3271</v>
      </c>
    </row>
    <row r="1477" spans="1:8" x14ac:dyDescent="0.55000000000000004">
      <c r="A1477" t="str">
        <f t="shared" si="52"/>
        <v>41</v>
      </c>
      <c r="B1477" t="str">
        <f>"41.0301"</f>
        <v>41.0301</v>
      </c>
      <c r="C1477" t="s">
        <v>8</v>
      </c>
      <c r="D1477" t="s">
        <v>12</v>
      </c>
      <c r="E1477" t="s">
        <v>3272</v>
      </c>
      <c r="F1477" t="s">
        <v>3273</v>
      </c>
    </row>
    <row r="1478" spans="1:8" x14ac:dyDescent="0.55000000000000004">
      <c r="A1478" t="str">
        <f t="shared" si="52"/>
        <v>41</v>
      </c>
      <c r="B1478" t="str">
        <f>"41.0303"</f>
        <v>41.0303</v>
      </c>
      <c r="C1478" t="s">
        <v>8</v>
      </c>
      <c r="D1478" t="s">
        <v>12</v>
      </c>
      <c r="E1478" t="s">
        <v>3274</v>
      </c>
      <c r="F1478" t="s">
        <v>3275</v>
      </c>
      <c r="H1478" t="s">
        <v>3276</v>
      </c>
    </row>
    <row r="1479" spans="1:8" x14ac:dyDescent="0.55000000000000004">
      <c r="A1479" t="str">
        <f t="shared" si="52"/>
        <v>41</v>
      </c>
      <c r="B1479" t="str">
        <f>"41.0399"</f>
        <v>41.0399</v>
      </c>
      <c r="C1479" t="s">
        <v>8</v>
      </c>
      <c r="D1479" t="s">
        <v>12</v>
      </c>
      <c r="E1479" t="s">
        <v>3277</v>
      </c>
      <c r="F1479" t="s">
        <v>3278</v>
      </c>
    </row>
    <row r="1480" spans="1:8" x14ac:dyDescent="0.55000000000000004">
      <c r="A1480" t="str">
        <f t="shared" si="52"/>
        <v>41</v>
      </c>
      <c r="B1480" t="str">
        <f>"41.99"</f>
        <v>41.99</v>
      </c>
      <c r="C1480" t="s">
        <v>8</v>
      </c>
      <c r="D1480" t="s">
        <v>12</v>
      </c>
      <c r="E1480" t="s">
        <v>3279</v>
      </c>
      <c r="F1480" t="s">
        <v>3280</v>
      </c>
    </row>
    <row r="1481" spans="1:8" x14ac:dyDescent="0.55000000000000004">
      <c r="A1481" t="str">
        <f t="shared" si="52"/>
        <v>41</v>
      </c>
      <c r="B1481" t="str">
        <f>"41.9999"</f>
        <v>41.9999</v>
      </c>
      <c r="C1481" t="s">
        <v>8</v>
      </c>
      <c r="D1481" t="s">
        <v>12</v>
      </c>
      <c r="E1481" t="s">
        <v>3279</v>
      </c>
      <c r="F1481" t="s">
        <v>3281</v>
      </c>
    </row>
    <row r="1482" spans="1:8" x14ac:dyDescent="0.55000000000000004">
      <c r="A1482" t="str">
        <f>"42"</f>
        <v>42</v>
      </c>
      <c r="B1482" t="str">
        <f>"42"</f>
        <v>42</v>
      </c>
      <c r="C1482" t="s">
        <v>8</v>
      </c>
      <c r="D1482" t="s">
        <v>12</v>
      </c>
      <c r="E1482" t="s">
        <v>3282</v>
      </c>
      <c r="F1482" t="s">
        <v>3283</v>
      </c>
    </row>
    <row r="1483" spans="1:8" x14ac:dyDescent="0.55000000000000004">
      <c r="A1483" t="str">
        <f t="shared" ref="A1483:A1517" si="53">"42"</f>
        <v>42</v>
      </c>
      <c r="B1483" t="str">
        <f>"42.01"</f>
        <v>42.01</v>
      </c>
      <c r="C1483" t="s">
        <v>8</v>
      </c>
      <c r="D1483" t="s">
        <v>12</v>
      </c>
      <c r="E1483" t="s">
        <v>3284</v>
      </c>
      <c r="F1483" t="s">
        <v>3285</v>
      </c>
    </row>
    <row r="1484" spans="1:8" x14ac:dyDescent="0.55000000000000004">
      <c r="A1484" t="str">
        <f t="shared" si="53"/>
        <v>42</v>
      </c>
      <c r="B1484" t="str">
        <f>"42.0101"</f>
        <v>42.0101</v>
      </c>
      <c r="C1484" t="s">
        <v>8</v>
      </c>
      <c r="D1484" t="s">
        <v>12</v>
      </c>
      <c r="E1484" t="s">
        <v>3284</v>
      </c>
      <c r="F1484" t="s">
        <v>3286</v>
      </c>
      <c r="G1484" t="s">
        <v>3287</v>
      </c>
    </row>
    <row r="1485" spans="1:8" x14ac:dyDescent="0.55000000000000004">
      <c r="A1485" t="str">
        <f t="shared" si="53"/>
        <v>42</v>
      </c>
      <c r="B1485" t="str">
        <f>"42.27"</f>
        <v>42.27</v>
      </c>
      <c r="C1485" t="s">
        <v>8</v>
      </c>
      <c r="D1485" t="s">
        <v>12</v>
      </c>
      <c r="E1485" t="s">
        <v>3288</v>
      </c>
      <c r="F1485" t="s">
        <v>3289</v>
      </c>
    </row>
    <row r="1486" spans="1:8" x14ac:dyDescent="0.55000000000000004">
      <c r="A1486" t="str">
        <f t="shared" si="53"/>
        <v>42</v>
      </c>
      <c r="B1486" t="str">
        <f>"42.2701"</f>
        <v>42.2701</v>
      </c>
      <c r="C1486" t="s">
        <v>8</v>
      </c>
      <c r="D1486" t="s">
        <v>12</v>
      </c>
      <c r="E1486" t="s">
        <v>3290</v>
      </c>
      <c r="F1486" t="s">
        <v>3291</v>
      </c>
    </row>
    <row r="1487" spans="1:8" x14ac:dyDescent="0.55000000000000004">
      <c r="A1487" t="str">
        <f t="shared" si="53"/>
        <v>42</v>
      </c>
      <c r="B1487" t="str">
        <f>"42.2702"</f>
        <v>42.2702</v>
      </c>
      <c r="C1487" t="s">
        <v>8</v>
      </c>
      <c r="D1487" t="s">
        <v>12</v>
      </c>
      <c r="E1487" t="s">
        <v>3292</v>
      </c>
      <c r="F1487" t="s">
        <v>3293</v>
      </c>
    </row>
    <row r="1488" spans="1:8" x14ac:dyDescent="0.55000000000000004">
      <c r="A1488" t="str">
        <f t="shared" si="53"/>
        <v>42</v>
      </c>
      <c r="B1488" t="str">
        <f>"42.2703"</f>
        <v>42.2703</v>
      </c>
      <c r="C1488" t="s">
        <v>8</v>
      </c>
      <c r="D1488" t="s">
        <v>9</v>
      </c>
      <c r="E1488" t="s">
        <v>3294</v>
      </c>
      <c r="F1488" t="s">
        <v>3295</v>
      </c>
      <c r="G1488" t="s">
        <v>3296</v>
      </c>
      <c r="H1488" t="s">
        <v>3297</v>
      </c>
    </row>
    <row r="1489" spans="1:8" x14ac:dyDescent="0.55000000000000004">
      <c r="A1489" t="str">
        <f t="shared" si="53"/>
        <v>42</v>
      </c>
      <c r="B1489" t="str">
        <f>"42.2704"</f>
        <v>42.2704</v>
      </c>
      <c r="C1489" t="s">
        <v>8</v>
      </c>
      <c r="D1489" t="s">
        <v>12</v>
      </c>
      <c r="E1489" t="s">
        <v>3298</v>
      </c>
      <c r="F1489" t="s">
        <v>3299</v>
      </c>
    </row>
    <row r="1490" spans="1:8" x14ac:dyDescent="0.55000000000000004">
      <c r="A1490" t="str">
        <f t="shared" si="53"/>
        <v>42</v>
      </c>
      <c r="B1490" t="str">
        <f>"42.2705"</f>
        <v>42.2705</v>
      </c>
      <c r="C1490" t="s">
        <v>8</v>
      </c>
      <c r="D1490" t="s">
        <v>12</v>
      </c>
      <c r="E1490" t="s">
        <v>3300</v>
      </c>
      <c r="F1490" t="s">
        <v>3301</v>
      </c>
    </row>
    <row r="1491" spans="1:8" x14ac:dyDescent="0.55000000000000004">
      <c r="A1491" t="str">
        <f t="shared" si="53"/>
        <v>42</v>
      </c>
      <c r="B1491" t="str">
        <f>"42.2706"</f>
        <v>42.2706</v>
      </c>
      <c r="C1491" t="s">
        <v>8</v>
      </c>
      <c r="D1491" t="s">
        <v>9</v>
      </c>
      <c r="E1491" t="s">
        <v>3302</v>
      </c>
      <c r="F1491" t="s">
        <v>3303</v>
      </c>
      <c r="G1491" t="s">
        <v>3304</v>
      </c>
      <c r="H1491" t="s">
        <v>3305</v>
      </c>
    </row>
    <row r="1492" spans="1:8" x14ac:dyDescent="0.55000000000000004">
      <c r="A1492" t="str">
        <f t="shared" si="53"/>
        <v>42</v>
      </c>
      <c r="B1492" t="str">
        <f>"42.2707"</f>
        <v>42.2707</v>
      </c>
      <c r="C1492" t="s">
        <v>8</v>
      </c>
      <c r="D1492" t="s">
        <v>12</v>
      </c>
      <c r="E1492" t="s">
        <v>3306</v>
      </c>
      <c r="F1492" t="s">
        <v>3307</v>
      </c>
    </row>
    <row r="1493" spans="1:8" x14ac:dyDescent="0.55000000000000004">
      <c r="A1493" t="str">
        <f t="shared" si="53"/>
        <v>42</v>
      </c>
      <c r="B1493" t="str">
        <f>"42.2708"</f>
        <v>42.2708</v>
      </c>
      <c r="C1493" t="s">
        <v>8</v>
      </c>
      <c r="D1493" t="s">
        <v>12</v>
      </c>
      <c r="E1493" t="s">
        <v>3308</v>
      </c>
      <c r="F1493" t="s">
        <v>3309</v>
      </c>
    </row>
    <row r="1494" spans="1:8" x14ac:dyDescent="0.55000000000000004">
      <c r="A1494" t="str">
        <f t="shared" si="53"/>
        <v>42</v>
      </c>
      <c r="B1494" t="str">
        <f>"42.2709"</f>
        <v>42.2709</v>
      </c>
      <c r="C1494" t="s">
        <v>8</v>
      </c>
      <c r="D1494" t="s">
        <v>12</v>
      </c>
      <c r="E1494" t="s">
        <v>3310</v>
      </c>
      <c r="F1494" t="s">
        <v>3311</v>
      </c>
    </row>
    <row r="1495" spans="1:8" x14ac:dyDescent="0.55000000000000004">
      <c r="A1495" t="str">
        <f t="shared" si="53"/>
        <v>42</v>
      </c>
      <c r="B1495" t="str">
        <f>"42.2710"</f>
        <v>42.2710</v>
      </c>
      <c r="C1495" t="s">
        <v>47</v>
      </c>
      <c r="D1495" t="s">
        <v>12</v>
      </c>
      <c r="E1495" t="s">
        <v>3312</v>
      </c>
      <c r="F1495" t="s">
        <v>3313</v>
      </c>
      <c r="H1495" t="s">
        <v>3314</v>
      </c>
    </row>
    <row r="1496" spans="1:8" x14ac:dyDescent="0.55000000000000004">
      <c r="A1496" t="str">
        <f t="shared" si="53"/>
        <v>42</v>
      </c>
      <c r="B1496" t="str">
        <f>"42.2799"</f>
        <v>42.2799</v>
      </c>
      <c r="C1496" t="s">
        <v>8</v>
      </c>
      <c r="D1496" t="s">
        <v>12</v>
      </c>
      <c r="E1496" t="s">
        <v>3315</v>
      </c>
      <c r="F1496" t="s">
        <v>3316</v>
      </c>
    </row>
    <row r="1497" spans="1:8" x14ac:dyDescent="0.55000000000000004">
      <c r="A1497" t="str">
        <f t="shared" si="53"/>
        <v>42</v>
      </c>
      <c r="B1497" t="str">
        <f>"42.28"</f>
        <v>42.28</v>
      </c>
      <c r="C1497" t="s">
        <v>8</v>
      </c>
      <c r="D1497" t="s">
        <v>12</v>
      </c>
      <c r="E1497" t="s">
        <v>3317</v>
      </c>
      <c r="F1497" t="s">
        <v>3318</v>
      </c>
    </row>
    <row r="1498" spans="1:8" x14ac:dyDescent="0.55000000000000004">
      <c r="A1498" t="str">
        <f t="shared" si="53"/>
        <v>42</v>
      </c>
      <c r="B1498" t="str">
        <f>"42.2801"</f>
        <v>42.2801</v>
      </c>
      <c r="C1498" t="s">
        <v>8</v>
      </c>
      <c r="D1498" t="s">
        <v>12</v>
      </c>
      <c r="E1498" t="s">
        <v>3319</v>
      </c>
      <c r="F1498" t="s">
        <v>3320</v>
      </c>
    </row>
    <row r="1499" spans="1:8" x14ac:dyDescent="0.55000000000000004">
      <c r="A1499" t="str">
        <f t="shared" si="53"/>
        <v>42</v>
      </c>
      <c r="B1499" t="str">
        <f>"42.2802"</f>
        <v>42.2802</v>
      </c>
      <c r="C1499" t="s">
        <v>8</v>
      </c>
      <c r="D1499" t="s">
        <v>12</v>
      </c>
      <c r="E1499" t="s">
        <v>3321</v>
      </c>
      <c r="F1499" t="s">
        <v>3322</v>
      </c>
    </row>
    <row r="1500" spans="1:8" x14ac:dyDescent="0.55000000000000004">
      <c r="A1500" t="str">
        <f t="shared" si="53"/>
        <v>42</v>
      </c>
      <c r="B1500" t="str">
        <f>"42.2803"</f>
        <v>42.2803</v>
      </c>
      <c r="C1500" t="s">
        <v>8</v>
      </c>
      <c r="D1500" t="s">
        <v>12</v>
      </c>
      <c r="E1500" t="s">
        <v>3323</v>
      </c>
      <c r="F1500" t="s">
        <v>3324</v>
      </c>
      <c r="G1500" t="s">
        <v>3325</v>
      </c>
    </row>
    <row r="1501" spans="1:8" x14ac:dyDescent="0.55000000000000004">
      <c r="A1501" t="str">
        <f t="shared" si="53"/>
        <v>42</v>
      </c>
      <c r="B1501" t="str">
        <f>"42.2804"</f>
        <v>42.2804</v>
      </c>
      <c r="C1501" t="s">
        <v>8</v>
      </c>
      <c r="D1501" t="s">
        <v>12</v>
      </c>
      <c r="E1501" t="s">
        <v>3326</v>
      </c>
      <c r="F1501" t="s">
        <v>3327</v>
      </c>
      <c r="G1501" t="s">
        <v>610</v>
      </c>
    </row>
    <row r="1502" spans="1:8" x14ac:dyDescent="0.55000000000000004">
      <c r="A1502" t="str">
        <f t="shared" si="53"/>
        <v>42</v>
      </c>
      <c r="B1502" t="str">
        <f>"42.2805"</f>
        <v>42.2805</v>
      </c>
      <c r="C1502" t="s">
        <v>8</v>
      </c>
      <c r="D1502" t="s">
        <v>12</v>
      </c>
      <c r="E1502" t="s">
        <v>3328</v>
      </c>
      <c r="F1502" t="s">
        <v>3329</v>
      </c>
      <c r="G1502" t="s">
        <v>3330</v>
      </c>
    </row>
    <row r="1503" spans="1:8" x14ac:dyDescent="0.55000000000000004">
      <c r="A1503" t="str">
        <f t="shared" si="53"/>
        <v>42</v>
      </c>
      <c r="B1503" t="str">
        <f>"42.2806"</f>
        <v>42.2806</v>
      </c>
      <c r="C1503" t="s">
        <v>8</v>
      </c>
      <c r="D1503" t="s">
        <v>12</v>
      </c>
      <c r="E1503" t="s">
        <v>3331</v>
      </c>
      <c r="F1503" t="s">
        <v>3332</v>
      </c>
    </row>
    <row r="1504" spans="1:8" x14ac:dyDescent="0.55000000000000004">
      <c r="A1504" t="str">
        <f t="shared" si="53"/>
        <v>42</v>
      </c>
      <c r="B1504" t="str">
        <f>"42.2807"</f>
        <v>42.2807</v>
      </c>
      <c r="C1504" t="s">
        <v>8</v>
      </c>
      <c r="D1504" t="s">
        <v>12</v>
      </c>
      <c r="E1504" t="s">
        <v>3333</v>
      </c>
      <c r="F1504" t="s">
        <v>3334</v>
      </c>
    </row>
    <row r="1505" spans="1:8" x14ac:dyDescent="0.55000000000000004">
      <c r="A1505" t="str">
        <f t="shared" si="53"/>
        <v>42</v>
      </c>
      <c r="B1505" t="str">
        <f>"42.2808"</f>
        <v>42.2808</v>
      </c>
      <c r="C1505" t="s">
        <v>8</v>
      </c>
      <c r="D1505" t="s">
        <v>12</v>
      </c>
      <c r="E1505" t="s">
        <v>3335</v>
      </c>
      <c r="F1505" t="s">
        <v>3336</v>
      </c>
    </row>
    <row r="1506" spans="1:8" x14ac:dyDescent="0.55000000000000004">
      <c r="A1506" t="str">
        <f t="shared" si="53"/>
        <v>42</v>
      </c>
      <c r="B1506" t="str">
        <f>"42.2809"</f>
        <v>42.2809</v>
      </c>
      <c r="C1506" t="s">
        <v>8</v>
      </c>
      <c r="D1506" t="s">
        <v>12</v>
      </c>
      <c r="E1506" t="s">
        <v>3337</v>
      </c>
      <c r="F1506" t="s">
        <v>3338</v>
      </c>
      <c r="G1506" t="s">
        <v>3339</v>
      </c>
    </row>
    <row r="1507" spans="1:8" x14ac:dyDescent="0.55000000000000004">
      <c r="A1507" t="str">
        <f t="shared" si="53"/>
        <v>42</v>
      </c>
      <c r="B1507" t="str">
        <f>"42.2810"</f>
        <v>42.2810</v>
      </c>
      <c r="C1507" t="s">
        <v>8</v>
      </c>
      <c r="D1507" t="s">
        <v>12</v>
      </c>
      <c r="E1507" t="s">
        <v>3340</v>
      </c>
      <c r="F1507" t="s">
        <v>3341</v>
      </c>
    </row>
    <row r="1508" spans="1:8" x14ac:dyDescent="0.55000000000000004">
      <c r="A1508" t="str">
        <f t="shared" si="53"/>
        <v>42</v>
      </c>
      <c r="B1508" t="str">
        <f>"42.2811"</f>
        <v>42.2811</v>
      </c>
      <c r="C1508" t="s">
        <v>8</v>
      </c>
      <c r="D1508" t="s">
        <v>12</v>
      </c>
      <c r="E1508" t="s">
        <v>3342</v>
      </c>
      <c r="F1508" t="s">
        <v>3343</v>
      </c>
      <c r="G1508" t="s">
        <v>3344</v>
      </c>
    </row>
    <row r="1509" spans="1:8" x14ac:dyDescent="0.55000000000000004">
      <c r="A1509" t="str">
        <f t="shared" si="53"/>
        <v>42</v>
      </c>
      <c r="B1509" t="str">
        <f>"42.2812"</f>
        <v>42.2812</v>
      </c>
      <c r="C1509" t="s">
        <v>8</v>
      </c>
      <c r="D1509" t="s">
        <v>12</v>
      </c>
      <c r="E1509" t="s">
        <v>3345</v>
      </c>
      <c r="F1509" t="s">
        <v>3346</v>
      </c>
    </row>
    <row r="1510" spans="1:8" x14ac:dyDescent="0.55000000000000004">
      <c r="A1510" t="str">
        <f t="shared" si="53"/>
        <v>42</v>
      </c>
      <c r="B1510" t="str">
        <f>"42.2813"</f>
        <v>42.2813</v>
      </c>
      <c r="C1510" t="s">
        <v>8</v>
      </c>
      <c r="D1510" t="s">
        <v>12</v>
      </c>
      <c r="E1510" t="s">
        <v>3347</v>
      </c>
      <c r="F1510" t="s">
        <v>3348</v>
      </c>
      <c r="G1510" t="s">
        <v>705</v>
      </c>
    </row>
    <row r="1511" spans="1:8" x14ac:dyDescent="0.55000000000000004">
      <c r="A1511" t="str">
        <f t="shared" si="53"/>
        <v>42</v>
      </c>
      <c r="B1511" t="str">
        <f>"42.2814"</f>
        <v>42.2814</v>
      </c>
      <c r="C1511" t="s">
        <v>8</v>
      </c>
      <c r="D1511" t="s">
        <v>12</v>
      </c>
      <c r="E1511" t="s">
        <v>3349</v>
      </c>
      <c r="F1511" t="s">
        <v>3350</v>
      </c>
    </row>
    <row r="1512" spans="1:8" x14ac:dyDescent="0.55000000000000004">
      <c r="A1512" t="str">
        <f t="shared" si="53"/>
        <v>42</v>
      </c>
      <c r="B1512" t="str">
        <f>"42.2815"</f>
        <v>42.2815</v>
      </c>
      <c r="C1512" t="s">
        <v>47</v>
      </c>
      <c r="D1512" t="s">
        <v>12</v>
      </c>
      <c r="E1512" t="s">
        <v>3351</v>
      </c>
      <c r="F1512" t="s">
        <v>3352</v>
      </c>
      <c r="G1512" t="s">
        <v>3353</v>
      </c>
      <c r="H1512" t="s">
        <v>3354</v>
      </c>
    </row>
    <row r="1513" spans="1:8" x14ac:dyDescent="0.55000000000000004">
      <c r="A1513" t="str">
        <f t="shared" si="53"/>
        <v>42</v>
      </c>
      <c r="B1513" t="str">
        <f>"42.2816"</f>
        <v>42.2816</v>
      </c>
      <c r="C1513" t="s">
        <v>47</v>
      </c>
      <c r="D1513" t="s">
        <v>12</v>
      </c>
      <c r="E1513" t="s">
        <v>3355</v>
      </c>
      <c r="F1513" t="s">
        <v>3356</v>
      </c>
    </row>
    <row r="1514" spans="1:8" x14ac:dyDescent="0.55000000000000004">
      <c r="A1514" t="str">
        <f t="shared" si="53"/>
        <v>42</v>
      </c>
      <c r="B1514" t="str">
        <f>"42.2817"</f>
        <v>42.2817</v>
      </c>
      <c r="C1514" t="s">
        <v>47</v>
      </c>
      <c r="D1514" t="s">
        <v>12</v>
      </c>
      <c r="E1514" t="s">
        <v>3357</v>
      </c>
      <c r="F1514" t="s">
        <v>3358</v>
      </c>
    </row>
    <row r="1515" spans="1:8" x14ac:dyDescent="0.55000000000000004">
      <c r="A1515" t="str">
        <f t="shared" si="53"/>
        <v>42</v>
      </c>
      <c r="B1515" t="str">
        <f>"42.2899"</f>
        <v>42.2899</v>
      </c>
      <c r="C1515" t="s">
        <v>8</v>
      </c>
      <c r="D1515" t="s">
        <v>12</v>
      </c>
      <c r="E1515" t="s">
        <v>3359</v>
      </c>
      <c r="F1515" t="s">
        <v>3360</v>
      </c>
    </row>
    <row r="1516" spans="1:8" x14ac:dyDescent="0.55000000000000004">
      <c r="A1516" t="str">
        <f t="shared" si="53"/>
        <v>42</v>
      </c>
      <c r="B1516" t="str">
        <f>"42.99"</f>
        <v>42.99</v>
      </c>
      <c r="C1516" t="s">
        <v>8</v>
      </c>
      <c r="D1516" t="s">
        <v>12</v>
      </c>
      <c r="E1516" t="s">
        <v>3361</v>
      </c>
      <c r="F1516" t="s">
        <v>3362</v>
      </c>
    </row>
    <row r="1517" spans="1:8" x14ac:dyDescent="0.55000000000000004">
      <c r="A1517" t="str">
        <f t="shared" si="53"/>
        <v>42</v>
      </c>
      <c r="B1517" t="str">
        <f>"42.9999"</f>
        <v>42.9999</v>
      </c>
      <c r="C1517" t="s">
        <v>8</v>
      </c>
      <c r="D1517" t="s">
        <v>12</v>
      </c>
      <c r="E1517" t="s">
        <v>3361</v>
      </c>
      <c r="F1517" t="s">
        <v>3363</v>
      </c>
      <c r="H1517" t="s">
        <v>3364</v>
      </c>
    </row>
    <row r="1518" spans="1:8" x14ac:dyDescent="0.55000000000000004">
      <c r="A1518" t="str">
        <f>"43"</f>
        <v>43</v>
      </c>
      <c r="B1518" t="str">
        <f>"43"</f>
        <v>43</v>
      </c>
      <c r="C1518" t="s">
        <v>8</v>
      </c>
      <c r="D1518" t="s">
        <v>12</v>
      </c>
      <c r="E1518" t="s">
        <v>3365</v>
      </c>
      <c r="F1518" t="s">
        <v>3366</v>
      </c>
    </row>
    <row r="1519" spans="1:8" x14ac:dyDescent="0.55000000000000004">
      <c r="A1519" t="str">
        <f t="shared" ref="A1519:A1550" si="54">"43"</f>
        <v>43</v>
      </c>
      <c r="B1519" t="str">
        <f>"43.01"</f>
        <v>43.01</v>
      </c>
      <c r="C1519" t="s">
        <v>8</v>
      </c>
      <c r="D1519" t="s">
        <v>12</v>
      </c>
      <c r="E1519" t="s">
        <v>3367</v>
      </c>
      <c r="F1519" t="s">
        <v>3368</v>
      </c>
    </row>
    <row r="1520" spans="1:8" x14ac:dyDescent="0.55000000000000004">
      <c r="A1520" t="str">
        <f t="shared" si="54"/>
        <v>43</v>
      </c>
      <c r="B1520" t="str">
        <f>"43.0100"</f>
        <v>43.0100</v>
      </c>
      <c r="C1520" t="s">
        <v>47</v>
      </c>
      <c r="D1520" t="s">
        <v>12</v>
      </c>
      <c r="E1520" t="s">
        <v>3369</v>
      </c>
      <c r="F1520" t="s">
        <v>3370</v>
      </c>
    </row>
    <row r="1521" spans="1:8" x14ac:dyDescent="0.55000000000000004">
      <c r="A1521" t="str">
        <f t="shared" si="54"/>
        <v>43</v>
      </c>
      <c r="B1521" t="str">
        <f>"43.0102"</f>
        <v>43.0102</v>
      </c>
      <c r="C1521" t="s">
        <v>8</v>
      </c>
      <c r="D1521" t="s">
        <v>12</v>
      </c>
      <c r="E1521" t="s">
        <v>3371</v>
      </c>
      <c r="F1521" t="s">
        <v>3372</v>
      </c>
    </row>
    <row r="1522" spans="1:8" x14ac:dyDescent="0.55000000000000004">
      <c r="A1522" t="str">
        <f t="shared" si="54"/>
        <v>43</v>
      </c>
      <c r="B1522" t="str">
        <f>"43.0103"</f>
        <v>43.0103</v>
      </c>
      <c r="C1522" t="s">
        <v>8</v>
      </c>
      <c r="D1522" t="s">
        <v>12</v>
      </c>
      <c r="E1522" t="s">
        <v>3373</v>
      </c>
      <c r="F1522" t="s">
        <v>3374</v>
      </c>
    </row>
    <row r="1523" spans="1:8" x14ac:dyDescent="0.55000000000000004">
      <c r="A1523" t="str">
        <f t="shared" si="54"/>
        <v>43</v>
      </c>
      <c r="B1523" t="str">
        <f>"43.0104"</f>
        <v>43.0104</v>
      </c>
      <c r="C1523" t="s">
        <v>8</v>
      </c>
      <c r="D1523" t="s">
        <v>12</v>
      </c>
      <c r="E1523" t="s">
        <v>3375</v>
      </c>
      <c r="F1523" t="s">
        <v>3376</v>
      </c>
      <c r="G1523" t="s">
        <v>3377</v>
      </c>
    </row>
    <row r="1524" spans="1:8" x14ac:dyDescent="0.55000000000000004">
      <c r="A1524" t="str">
        <f t="shared" si="54"/>
        <v>43</v>
      </c>
      <c r="B1524" t="str">
        <f>"43.0106"</f>
        <v>43.0106</v>
      </c>
      <c r="C1524" t="s">
        <v>70</v>
      </c>
      <c r="D1524" t="s">
        <v>12</v>
      </c>
      <c r="E1524" t="s">
        <v>3378</v>
      </c>
      <c r="F1524" t="s">
        <v>3379</v>
      </c>
    </row>
    <row r="1525" spans="1:8" x14ac:dyDescent="0.55000000000000004">
      <c r="A1525" t="str">
        <f t="shared" si="54"/>
        <v>43</v>
      </c>
      <c r="B1525" t="str">
        <f>"43.0107"</f>
        <v>43.0107</v>
      </c>
      <c r="C1525" t="s">
        <v>8</v>
      </c>
      <c r="D1525" t="s">
        <v>12</v>
      </c>
      <c r="E1525" t="s">
        <v>3380</v>
      </c>
      <c r="F1525" t="s">
        <v>3381</v>
      </c>
    </row>
    <row r="1526" spans="1:8" x14ac:dyDescent="0.55000000000000004">
      <c r="A1526" t="str">
        <f t="shared" si="54"/>
        <v>43</v>
      </c>
      <c r="B1526" t="str">
        <f>"43.0109"</f>
        <v>43.0109</v>
      </c>
      <c r="C1526" t="s">
        <v>8</v>
      </c>
      <c r="D1526" t="s">
        <v>12</v>
      </c>
      <c r="E1526" t="s">
        <v>3382</v>
      </c>
      <c r="F1526" t="s">
        <v>3383</v>
      </c>
    </row>
    <row r="1527" spans="1:8" x14ac:dyDescent="0.55000000000000004">
      <c r="A1527" t="str">
        <f t="shared" si="54"/>
        <v>43</v>
      </c>
      <c r="B1527" t="str">
        <f>"43.0110"</f>
        <v>43.0110</v>
      </c>
      <c r="C1527" t="s">
        <v>8</v>
      </c>
      <c r="D1527" t="s">
        <v>12</v>
      </c>
      <c r="E1527" t="s">
        <v>3384</v>
      </c>
      <c r="F1527" t="s">
        <v>3385</v>
      </c>
    </row>
    <row r="1528" spans="1:8" x14ac:dyDescent="0.55000000000000004">
      <c r="A1528" t="str">
        <f t="shared" si="54"/>
        <v>43</v>
      </c>
      <c r="B1528" t="str">
        <f>"43.0111"</f>
        <v>43.0111</v>
      </c>
      <c r="C1528" t="s">
        <v>70</v>
      </c>
      <c r="D1528" t="s">
        <v>12</v>
      </c>
      <c r="E1528" t="s">
        <v>3386</v>
      </c>
      <c r="F1528" t="s">
        <v>3387</v>
      </c>
    </row>
    <row r="1529" spans="1:8" x14ac:dyDescent="0.55000000000000004">
      <c r="A1529" t="str">
        <f t="shared" si="54"/>
        <v>43</v>
      </c>
      <c r="B1529" t="str">
        <f>"43.0112"</f>
        <v>43.0112</v>
      </c>
      <c r="C1529" t="s">
        <v>8</v>
      </c>
      <c r="D1529" t="s">
        <v>12</v>
      </c>
      <c r="E1529" t="s">
        <v>3388</v>
      </c>
      <c r="F1529" t="s">
        <v>3389</v>
      </c>
      <c r="H1529" t="s">
        <v>3390</v>
      </c>
    </row>
    <row r="1530" spans="1:8" x14ac:dyDescent="0.55000000000000004">
      <c r="A1530" t="str">
        <f t="shared" si="54"/>
        <v>43</v>
      </c>
      <c r="B1530" t="str">
        <f>"43.0113"</f>
        <v>43.0113</v>
      </c>
      <c r="C1530" t="s">
        <v>8</v>
      </c>
      <c r="D1530" t="s">
        <v>12</v>
      </c>
      <c r="E1530" t="s">
        <v>3391</v>
      </c>
      <c r="F1530" t="s">
        <v>3392</v>
      </c>
    </row>
    <row r="1531" spans="1:8" x14ac:dyDescent="0.55000000000000004">
      <c r="A1531" t="str">
        <f t="shared" si="54"/>
        <v>43</v>
      </c>
      <c r="B1531" t="str">
        <f>"43.0114"</f>
        <v>43.0114</v>
      </c>
      <c r="C1531" t="s">
        <v>8</v>
      </c>
      <c r="D1531" t="s">
        <v>12</v>
      </c>
      <c r="E1531" t="s">
        <v>3393</v>
      </c>
      <c r="F1531" t="s">
        <v>3394</v>
      </c>
    </row>
    <row r="1532" spans="1:8" x14ac:dyDescent="0.55000000000000004">
      <c r="A1532" t="str">
        <f t="shared" si="54"/>
        <v>43</v>
      </c>
      <c r="B1532" t="str">
        <f>"43.0115"</f>
        <v>43.0115</v>
      </c>
      <c r="C1532" t="s">
        <v>8</v>
      </c>
      <c r="D1532" t="s">
        <v>12</v>
      </c>
      <c r="E1532" t="s">
        <v>3395</v>
      </c>
      <c r="F1532" t="s">
        <v>3396</v>
      </c>
    </row>
    <row r="1533" spans="1:8" x14ac:dyDescent="0.55000000000000004">
      <c r="A1533" t="str">
        <f t="shared" si="54"/>
        <v>43</v>
      </c>
      <c r="B1533" t="str">
        <f>"43.0116"</f>
        <v>43.0116</v>
      </c>
      <c r="C1533" t="s">
        <v>70</v>
      </c>
      <c r="D1533" t="s">
        <v>12</v>
      </c>
      <c r="E1533" t="s">
        <v>3397</v>
      </c>
      <c r="F1533" t="s">
        <v>3398</v>
      </c>
    </row>
    <row r="1534" spans="1:8" x14ac:dyDescent="0.55000000000000004">
      <c r="A1534" t="str">
        <f t="shared" si="54"/>
        <v>43</v>
      </c>
      <c r="B1534" t="str">
        <f>"43.0117"</f>
        <v>43.0117</v>
      </c>
      <c r="C1534" t="s">
        <v>70</v>
      </c>
      <c r="D1534" t="s">
        <v>12</v>
      </c>
      <c r="E1534" t="s">
        <v>3399</v>
      </c>
      <c r="F1534" t="s">
        <v>3400</v>
      </c>
    </row>
    <row r="1535" spans="1:8" x14ac:dyDescent="0.55000000000000004">
      <c r="A1535" t="str">
        <f t="shared" si="54"/>
        <v>43</v>
      </c>
      <c r="B1535" t="str">
        <f>"43.0118"</f>
        <v>43.0118</v>
      </c>
      <c r="C1535" t="s">
        <v>70</v>
      </c>
      <c r="D1535" t="s">
        <v>12</v>
      </c>
      <c r="E1535" t="s">
        <v>3401</v>
      </c>
      <c r="F1535" t="s">
        <v>3402</v>
      </c>
    </row>
    <row r="1536" spans="1:8" x14ac:dyDescent="0.55000000000000004">
      <c r="A1536" t="str">
        <f t="shared" si="54"/>
        <v>43</v>
      </c>
      <c r="B1536" t="str">
        <f>"43.0119"</f>
        <v>43.0119</v>
      </c>
      <c r="C1536" t="s">
        <v>8</v>
      </c>
      <c r="D1536" t="s">
        <v>12</v>
      </c>
      <c r="E1536" t="s">
        <v>3403</v>
      </c>
      <c r="F1536" t="s">
        <v>3404</v>
      </c>
    </row>
    <row r="1537" spans="1:8" x14ac:dyDescent="0.55000000000000004">
      <c r="A1537" t="str">
        <f t="shared" si="54"/>
        <v>43</v>
      </c>
      <c r="B1537" t="str">
        <f>"43.0120"</f>
        <v>43.0120</v>
      </c>
      <c r="C1537" t="s">
        <v>8</v>
      </c>
      <c r="D1537" t="s">
        <v>12</v>
      </c>
      <c r="E1537" t="s">
        <v>3405</v>
      </c>
      <c r="F1537" t="s">
        <v>3406</v>
      </c>
      <c r="H1537" t="s">
        <v>3407</v>
      </c>
    </row>
    <row r="1538" spans="1:8" x14ac:dyDescent="0.55000000000000004">
      <c r="A1538" t="str">
        <f t="shared" si="54"/>
        <v>43</v>
      </c>
      <c r="B1538" t="str">
        <f>"43.0121"</f>
        <v>43.0121</v>
      </c>
      <c r="C1538" t="s">
        <v>8</v>
      </c>
      <c r="D1538" t="s">
        <v>12</v>
      </c>
      <c r="E1538" t="s">
        <v>3408</v>
      </c>
      <c r="F1538" t="s">
        <v>3409</v>
      </c>
    </row>
    <row r="1539" spans="1:8" x14ac:dyDescent="0.55000000000000004">
      <c r="A1539" t="str">
        <f t="shared" si="54"/>
        <v>43</v>
      </c>
      <c r="B1539" t="str">
        <f>"43.0122"</f>
        <v>43.0122</v>
      </c>
      <c r="C1539" t="s">
        <v>8</v>
      </c>
      <c r="D1539" t="s">
        <v>12</v>
      </c>
      <c r="E1539" t="s">
        <v>3410</v>
      </c>
      <c r="F1539" t="s">
        <v>3411</v>
      </c>
    </row>
    <row r="1540" spans="1:8" x14ac:dyDescent="0.55000000000000004">
      <c r="A1540" t="str">
        <f t="shared" si="54"/>
        <v>43</v>
      </c>
      <c r="B1540" t="str">
        <f>"43.0123"</f>
        <v>43.0123</v>
      </c>
      <c r="C1540" t="s">
        <v>8</v>
      </c>
      <c r="D1540" t="s">
        <v>12</v>
      </c>
      <c r="E1540" t="s">
        <v>3412</v>
      </c>
      <c r="F1540" t="s">
        <v>3413</v>
      </c>
    </row>
    <row r="1541" spans="1:8" x14ac:dyDescent="0.55000000000000004">
      <c r="A1541" t="str">
        <f t="shared" si="54"/>
        <v>43</v>
      </c>
      <c r="B1541" t="str">
        <f>"43.0199"</f>
        <v>43.0199</v>
      </c>
      <c r="C1541" t="s">
        <v>8</v>
      </c>
      <c r="D1541" t="s">
        <v>12</v>
      </c>
      <c r="E1541" t="s">
        <v>3414</v>
      </c>
      <c r="F1541" t="s">
        <v>3415</v>
      </c>
      <c r="G1541" t="s">
        <v>3416</v>
      </c>
    </row>
    <row r="1542" spans="1:8" x14ac:dyDescent="0.55000000000000004">
      <c r="A1542" t="str">
        <f t="shared" si="54"/>
        <v>43</v>
      </c>
      <c r="B1542" t="str">
        <f>"43.02"</f>
        <v>43.02</v>
      </c>
      <c r="C1542" t="s">
        <v>8</v>
      </c>
      <c r="D1542" t="s">
        <v>12</v>
      </c>
      <c r="E1542" t="s">
        <v>3417</v>
      </c>
      <c r="F1542" t="s">
        <v>3418</v>
      </c>
    </row>
    <row r="1543" spans="1:8" x14ac:dyDescent="0.55000000000000004">
      <c r="A1543" t="str">
        <f t="shared" si="54"/>
        <v>43</v>
      </c>
      <c r="B1543" t="str">
        <f>"43.0201"</f>
        <v>43.0201</v>
      </c>
      <c r="C1543" t="s">
        <v>8</v>
      </c>
      <c r="D1543" t="s">
        <v>12</v>
      </c>
      <c r="E1543" t="s">
        <v>3419</v>
      </c>
      <c r="F1543" t="s">
        <v>3420</v>
      </c>
      <c r="H1543" t="s">
        <v>3421</v>
      </c>
    </row>
    <row r="1544" spans="1:8" x14ac:dyDescent="0.55000000000000004">
      <c r="A1544" t="str">
        <f t="shared" si="54"/>
        <v>43</v>
      </c>
      <c r="B1544" t="str">
        <f>"43.0202"</f>
        <v>43.0202</v>
      </c>
      <c r="C1544" t="s">
        <v>8</v>
      </c>
      <c r="D1544" t="s">
        <v>12</v>
      </c>
      <c r="E1544" t="s">
        <v>3422</v>
      </c>
      <c r="F1544" t="s">
        <v>3423</v>
      </c>
      <c r="H1544" t="s">
        <v>3424</v>
      </c>
    </row>
    <row r="1545" spans="1:8" x14ac:dyDescent="0.55000000000000004">
      <c r="A1545" t="str">
        <f t="shared" si="54"/>
        <v>43</v>
      </c>
      <c r="B1545" t="str">
        <f>"43.0203"</f>
        <v>43.0203</v>
      </c>
      <c r="C1545" t="s">
        <v>8</v>
      </c>
      <c r="D1545" t="s">
        <v>12</v>
      </c>
      <c r="E1545" t="s">
        <v>3425</v>
      </c>
      <c r="F1545" t="s">
        <v>3426</v>
      </c>
      <c r="H1545" t="s">
        <v>3427</v>
      </c>
    </row>
    <row r="1546" spans="1:8" x14ac:dyDescent="0.55000000000000004">
      <c r="A1546" t="str">
        <f t="shared" si="54"/>
        <v>43</v>
      </c>
      <c r="B1546" t="str">
        <f>"43.0204"</f>
        <v>43.0204</v>
      </c>
      <c r="C1546" t="s">
        <v>8</v>
      </c>
      <c r="D1546" t="s">
        <v>12</v>
      </c>
      <c r="E1546" t="s">
        <v>3428</v>
      </c>
      <c r="F1546" t="s">
        <v>3429</v>
      </c>
    </row>
    <row r="1547" spans="1:8" x14ac:dyDescent="0.55000000000000004">
      <c r="A1547" t="str">
        <f t="shared" si="54"/>
        <v>43</v>
      </c>
      <c r="B1547" t="str">
        <f>"43.0205"</f>
        <v>43.0205</v>
      </c>
      <c r="C1547" t="s">
        <v>8</v>
      </c>
      <c r="D1547" t="s">
        <v>12</v>
      </c>
      <c r="E1547" t="s">
        <v>3430</v>
      </c>
      <c r="F1547" t="s">
        <v>3431</v>
      </c>
      <c r="H1547" t="s">
        <v>3432</v>
      </c>
    </row>
    <row r="1548" spans="1:8" x14ac:dyDescent="0.55000000000000004">
      <c r="A1548" t="str">
        <f t="shared" si="54"/>
        <v>43</v>
      </c>
      <c r="B1548" t="str">
        <f>"43.0206"</f>
        <v>43.0206</v>
      </c>
      <c r="C1548" t="s">
        <v>8</v>
      </c>
      <c r="D1548" t="s">
        <v>12</v>
      </c>
      <c r="E1548" t="s">
        <v>3433</v>
      </c>
      <c r="F1548" t="s">
        <v>3434</v>
      </c>
    </row>
    <row r="1549" spans="1:8" x14ac:dyDescent="0.55000000000000004">
      <c r="A1549" t="str">
        <f t="shared" si="54"/>
        <v>43</v>
      </c>
      <c r="B1549" t="str">
        <f>"43.0299"</f>
        <v>43.0299</v>
      </c>
      <c r="C1549" t="s">
        <v>8</v>
      </c>
      <c r="D1549" t="s">
        <v>12</v>
      </c>
      <c r="E1549" t="s">
        <v>3435</v>
      </c>
      <c r="F1549" t="s">
        <v>3436</v>
      </c>
    </row>
    <row r="1550" spans="1:8" x14ac:dyDescent="0.55000000000000004">
      <c r="A1550" t="str">
        <f t="shared" si="54"/>
        <v>43</v>
      </c>
      <c r="B1550" t="str">
        <f>"43.03"</f>
        <v>43.03</v>
      </c>
      <c r="C1550" t="s">
        <v>8</v>
      </c>
      <c r="D1550" t="s">
        <v>12</v>
      </c>
      <c r="E1550" t="s">
        <v>3437</v>
      </c>
      <c r="F1550" t="s">
        <v>3438</v>
      </c>
    </row>
    <row r="1551" spans="1:8" x14ac:dyDescent="0.55000000000000004">
      <c r="A1551" t="str">
        <f t="shared" ref="A1551:A1567" si="55">"43"</f>
        <v>43</v>
      </c>
      <c r="B1551" t="str">
        <f>"43.0301"</f>
        <v>43.0301</v>
      </c>
      <c r="C1551" t="s">
        <v>8</v>
      </c>
      <c r="D1551" t="s">
        <v>12</v>
      </c>
      <c r="E1551" t="s">
        <v>3437</v>
      </c>
      <c r="F1551" t="s">
        <v>3439</v>
      </c>
    </row>
    <row r="1552" spans="1:8" x14ac:dyDescent="0.55000000000000004">
      <c r="A1552" t="str">
        <f t="shared" si="55"/>
        <v>43</v>
      </c>
      <c r="B1552" t="str">
        <f>"43.0302"</f>
        <v>43.0302</v>
      </c>
      <c r="C1552" t="s">
        <v>8</v>
      </c>
      <c r="D1552" t="s">
        <v>12</v>
      </c>
      <c r="E1552" t="s">
        <v>3440</v>
      </c>
      <c r="F1552" t="s">
        <v>3441</v>
      </c>
      <c r="H1552" t="s">
        <v>3442</v>
      </c>
    </row>
    <row r="1553" spans="1:8" x14ac:dyDescent="0.55000000000000004">
      <c r="A1553" t="str">
        <f t="shared" si="55"/>
        <v>43</v>
      </c>
      <c r="B1553" t="str">
        <f>"43.0303"</f>
        <v>43.0303</v>
      </c>
      <c r="C1553" t="s">
        <v>8</v>
      </c>
      <c r="D1553" t="s">
        <v>12</v>
      </c>
      <c r="E1553" t="s">
        <v>3443</v>
      </c>
      <c r="F1553" t="s">
        <v>3444</v>
      </c>
    </row>
    <row r="1554" spans="1:8" x14ac:dyDescent="0.55000000000000004">
      <c r="A1554" t="str">
        <f t="shared" si="55"/>
        <v>43</v>
      </c>
      <c r="B1554" t="str">
        <f>"43.0304"</f>
        <v>43.0304</v>
      </c>
      <c r="C1554" t="s">
        <v>8</v>
      </c>
      <c r="D1554" t="s">
        <v>12</v>
      </c>
      <c r="E1554" t="s">
        <v>3445</v>
      </c>
      <c r="F1554" t="s">
        <v>3446</v>
      </c>
    </row>
    <row r="1555" spans="1:8" x14ac:dyDescent="0.55000000000000004">
      <c r="A1555" t="str">
        <f t="shared" si="55"/>
        <v>43</v>
      </c>
      <c r="B1555" t="str">
        <f>"43.0399"</f>
        <v>43.0399</v>
      </c>
      <c r="C1555" t="s">
        <v>8</v>
      </c>
      <c r="D1555" t="s">
        <v>12</v>
      </c>
      <c r="E1555" t="s">
        <v>3447</v>
      </c>
      <c r="F1555" t="s">
        <v>3448</v>
      </c>
      <c r="H1555" t="s">
        <v>3449</v>
      </c>
    </row>
    <row r="1556" spans="1:8" x14ac:dyDescent="0.55000000000000004">
      <c r="A1556" t="str">
        <f t="shared" si="55"/>
        <v>43</v>
      </c>
      <c r="B1556" t="str">
        <f>"43.04"</f>
        <v>43.04</v>
      </c>
      <c r="C1556" t="s">
        <v>47</v>
      </c>
      <c r="D1556" t="s">
        <v>12</v>
      </c>
      <c r="E1556" t="s">
        <v>3450</v>
      </c>
      <c r="F1556" t="s">
        <v>3451</v>
      </c>
    </row>
    <row r="1557" spans="1:8" x14ac:dyDescent="0.55000000000000004">
      <c r="A1557" t="str">
        <f t="shared" si="55"/>
        <v>43</v>
      </c>
      <c r="B1557" t="str">
        <f>"43.0401"</f>
        <v>43.0401</v>
      </c>
      <c r="C1557" t="s">
        <v>47</v>
      </c>
      <c r="D1557" t="s">
        <v>12</v>
      </c>
      <c r="E1557" t="s">
        <v>3452</v>
      </c>
      <c r="F1557" t="s">
        <v>3453</v>
      </c>
    </row>
    <row r="1558" spans="1:8" x14ac:dyDescent="0.55000000000000004">
      <c r="A1558" t="str">
        <f t="shared" si="55"/>
        <v>43</v>
      </c>
      <c r="B1558" t="str">
        <f>"43.0402"</f>
        <v>43.0402</v>
      </c>
      <c r="C1558" t="s">
        <v>173</v>
      </c>
      <c r="D1558" t="s">
        <v>12</v>
      </c>
      <c r="E1558" t="s">
        <v>3386</v>
      </c>
      <c r="F1558" t="s">
        <v>3454</v>
      </c>
    </row>
    <row r="1559" spans="1:8" x14ac:dyDescent="0.55000000000000004">
      <c r="A1559" t="str">
        <f t="shared" si="55"/>
        <v>43</v>
      </c>
      <c r="B1559" t="str">
        <f>"43.0403"</f>
        <v>43.0403</v>
      </c>
      <c r="C1559" t="s">
        <v>173</v>
      </c>
      <c r="D1559" t="s">
        <v>12</v>
      </c>
      <c r="E1559" t="s">
        <v>3397</v>
      </c>
      <c r="F1559" t="s">
        <v>3455</v>
      </c>
      <c r="G1559" t="s">
        <v>3456</v>
      </c>
      <c r="H1559" t="s">
        <v>3457</v>
      </c>
    </row>
    <row r="1560" spans="1:8" x14ac:dyDescent="0.55000000000000004">
      <c r="A1560" t="str">
        <f t="shared" si="55"/>
        <v>43</v>
      </c>
      <c r="B1560" t="str">
        <f>"43.0404"</f>
        <v>43.0404</v>
      </c>
      <c r="C1560" t="s">
        <v>47</v>
      </c>
      <c r="D1560" t="s">
        <v>12</v>
      </c>
      <c r="E1560" t="s">
        <v>3458</v>
      </c>
      <c r="F1560" t="s">
        <v>3459</v>
      </c>
    </row>
    <row r="1561" spans="1:8" x14ac:dyDescent="0.55000000000000004">
      <c r="A1561" t="str">
        <f t="shared" si="55"/>
        <v>43</v>
      </c>
      <c r="B1561" t="str">
        <f>"43.0405"</f>
        <v>43.0405</v>
      </c>
      <c r="C1561" t="s">
        <v>173</v>
      </c>
      <c r="D1561" t="s">
        <v>12</v>
      </c>
      <c r="E1561" t="s">
        <v>3399</v>
      </c>
      <c r="F1561" t="s">
        <v>3460</v>
      </c>
      <c r="H1561" t="s">
        <v>3461</v>
      </c>
    </row>
    <row r="1562" spans="1:8" x14ac:dyDescent="0.55000000000000004">
      <c r="A1562" t="str">
        <f t="shared" si="55"/>
        <v>43</v>
      </c>
      <c r="B1562" t="str">
        <f>"43.0406"</f>
        <v>43.0406</v>
      </c>
      <c r="C1562" t="s">
        <v>173</v>
      </c>
      <c r="D1562" t="s">
        <v>12</v>
      </c>
      <c r="E1562" t="s">
        <v>3378</v>
      </c>
      <c r="F1562" t="s">
        <v>3462</v>
      </c>
      <c r="G1562" t="s">
        <v>3463</v>
      </c>
      <c r="H1562" t="s">
        <v>3464</v>
      </c>
    </row>
    <row r="1563" spans="1:8" x14ac:dyDescent="0.55000000000000004">
      <c r="A1563" t="str">
        <f t="shared" si="55"/>
        <v>43</v>
      </c>
      <c r="B1563" t="str">
        <f>"43.0407"</f>
        <v>43.0407</v>
      </c>
      <c r="C1563" t="s">
        <v>47</v>
      </c>
      <c r="D1563" t="s">
        <v>12</v>
      </c>
      <c r="E1563" t="s">
        <v>3465</v>
      </c>
      <c r="F1563" t="s">
        <v>3466</v>
      </c>
      <c r="G1563" t="s">
        <v>3467</v>
      </c>
    </row>
    <row r="1564" spans="1:8" x14ac:dyDescent="0.55000000000000004">
      <c r="A1564" t="str">
        <f t="shared" si="55"/>
        <v>43</v>
      </c>
      <c r="B1564" t="str">
        <f>"43.0408"</f>
        <v>43.0408</v>
      </c>
      <c r="C1564" t="s">
        <v>173</v>
      </c>
      <c r="D1564" t="s">
        <v>12</v>
      </c>
      <c r="E1564" t="s">
        <v>3401</v>
      </c>
      <c r="F1564" t="s">
        <v>3468</v>
      </c>
      <c r="H1564" t="s">
        <v>3469</v>
      </c>
    </row>
    <row r="1565" spans="1:8" x14ac:dyDescent="0.55000000000000004">
      <c r="A1565" t="str">
        <f t="shared" si="55"/>
        <v>43</v>
      </c>
      <c r="B1565" t="str">
        <f>"43.0499"</f>
        <v>43.0499</v>
      </c>
      <c r="C1565" t="s">
        <v>47</v>
      </c>
      <c r="D1565" t="s">
        <v>12</v>
      </c>
      <c r="E1565" t="s">
        <v>3470</v>
      </c>
      <c r="F1565" t="s">
        <v>3471</v>
      </c>
    </row>
    <row r="1566" spans="1:8" x14ac:dyDescent="0.55000000000000004">
      <c r="A1566" t="str">
        <f t="shared" si="55"/>
        <v>43</v>
      </c>
      <c r="B1566" t="str">
        <f>"43.99"</f>
        <v>43.99</v>
      </c>
      <c r="C1566" t="s">
        <v>8</v>
      </c>
      <c r="D1566" t="s">
        <v>12</v>
      </c>
      <c r="E1566" t="s">
        <v>3472</v>
      </c>
      <c r="F1566" t="s">
        <v>3473</v>
      </c>
    </row>
    <row r="1567" spans="1:8" x14ac:dyDescent="0.55000000000000004">
      <c r="A1567" t="str">
        <f t="shared" si="55"/>
        <v>43</v>
      </c>
      <c r="B1567" t="str">
        <f>"43.9999"</f>
        <v>43.9999</v>
      </c>
      <c r="C1567" t="s">
        <v>8</v>
      </c>
      <c r="D1567" t="s">
        <v>12</v>
      </c>
      <c r="E1567" t="s">
        <v>3472</v>
      </c>
      <c r="F1567" t="s">
        <v>3474</v>
      </c>
    </row>
    <row r="1568" spans="1:8" x14ac:dyDescent="0.55000000000000004">
      <c r="A1568" t="str">
        <f>"44"</f>
        <v>44</v>
      </c>
      <c r="B1568" t="str">
        <f>"44"</f>
        <v>44</v>
      </c>
      <c r="C1568" t="s">
        <v>8</v>
      </c>
      <c r="D1568" t="s">
        <v>12</v>
      </c>
      <c r="E1568" t="s">
        <v>3475</v>
      </c>
      <c r="F1568" t="s">
        <v>3476</v>
      </c>
    </row>
    <row r="1569" spans="1:8" x14ac:dyDescent="0.55000000000000004">
      <c r="A1569" t="str">
        <f t="shared" ref="A1569:A1591" si="56">"44"</f>
        <v>44</v>
      </c>
      <c r="B1569" t="str">
        <f>"44.00"</f>
        <v>44.00</v>
      </c>
      <c r="C1569" t="s">
        <v>8</v>
      </c>
      <c r="D1569" t="s">
        <v>12</v>
      </c>
      <c r="E1569" t="s">
        <v>3477</v>
      </c>
      <c r="F1569" t="s">
        <v>3478</v>
      </c>
    </row>
    <row r="1570" spans="1:8" x14ac:dyDescent="0.55000000000000004">
      <c r="A1570" t="str">
        <f t="shared" si="56"/>
        <v>44</v>
      </c>
      <c r="B1570" t="str">
        <f>"44.0000"</f>
        <v>44.0000</v>
      </c>
      <c r="C1570" t="s">
        <v>8</v>
      </c>
      <c r="D1570" t="s">
        <v>12</v>
      </c>
      <c r="E1570" t="s">
        <v>3477</v>
      </c>
      <c r="F1570" t="s">
        <v>3479</v>
      </c>
      <c r="H1570" t="s">
        <v>3480</v>
      </c>
    </row>
    <row r="1571" spans="1:8" x14ac:dyDescent="0.55000000000000004">
      <c r="A1571" t="str">
        <f t="shared" si="56"/>
        <v>44</v>
      </c>
      <c r="B1571" t="str">
        <f>"44.02"</f>
        <v>44.02</v>
      </c>
      <c r="C1571" t="s">
        <v>8</v>
      </c>
      <c r="D1571" t="s">
        <v>12</v>
      </c>
      <c r="E1571" t="s">
        <v>3481</v>
      </c>
      <c r="F1571" t="s">
        <v>3482</v>
      </c>
    </row>
    <row r="1572" spans="1:8" x14ac:dyDescent="0.55000000000000004">
      <c r="A1572" t="str">
        <f t="shared" si="56"/>
        <v>44</v>
      </c>
      <c r="B1572" t="str">
        <f>"44.0201"</f>
        <v>44.0201</v>
      </c>
      <c r="C1572" t="s">
        <v>8</v>
      </c>
      <c r="D1572" t="s">
        <v>9</v>
      </c>
      <c r="E1572" t="s">
        <v>3481</v>
      </c>
      <c r="F1572" t="s">
        <v>3483</v>
      </c>
    </row>
    <row r="1573" spans="1:8" x14ac:dyDescent="0.55000000000000004">
      <c r="A1573" t="str">
        <f t="shared" si="56"/>
        <v>44</v>
      </c>
      <c r="B1573" t="str">
        <f>"44.04"</f>
        <v>44.04</v>
      </c>
      <c r="C1573" t="s">
        <v>8</v>
      </c>
      <c r="D1573" t="s">
        <v>12</v>
      </c>
      <c r="E1573" t="s">
        <v>3484</v>
      </c>
      <c r="F1573" t="s">
        <v>3485</v>
      </c>
    </row>
    <row r="1574" spans="1:8" x14ac:dyDescent="0.55000000000000004">
      <c r="A1574" t="str">
        <f t="shared" si="56"/>
        <v>44</v>
      </c>
      <c r="B1574" t="str">
        <f>"44.0401"</f>
        <v>44.0401</v>
      </c>
      <c r="C1574" t="s">
        <v>8</v>
      </c>
      <c r="D1574" t="s">
        <v>12</v>
      </c>
      <c r="E1574" t="s">
        <v>3484</v>
      </c>
      <c r="F1574" t="s">
        <v>3486</v>
      </c>
    </row>
    <row r="1575" spans="1:8" x14ac:dyDescent="0.55000000000000004">
      <c r="A1575" t="str">
        <f t="shared" si="56"/>
        <v>44</v>
      </c>
      <c r="B1575" t="str">
        <f>"44.0402"</f>
        <v>44.0402</v>
      </c>
      <c r="C1575" t="s">
        <v>47</v>
      </c>
      <c r="D1575" t="s">
        <v>12</v>
      </c>
      <c r="E1575" t="s">
        <v>3487</v>
      </c>
      <c r="F1575" t="s">
        <v>3488</v>
      </c>
    </row>
    <row r="1576" spans="1:8" x14ac:dyDescent="0.55000000000000004">
      <c r="A1576" t="str">
        <f t="shared" si="56"/>
        <v>44</v>
      </c>
      <c r="B1576" t="str">
        <f>"44.0403"</f>
        <v>44.0403</v>
      </c>
      <c r="C1576" t="s">
        <v>47</v>
      </c>
      <c r="D1576" t="s">
        <v>12</v>
      </c>
      <c r="E1576" t="s">
        <v>3489</v>
      </c>
      <c r="F1576" t="s">
        <v>3490</v>
      </c>
      <c r="G1576" t="s">
        <v>3491</v>
      </c>
    </row>
    <row r="1577" spans="1:8" x14ac:dyDescent="0.55000000000000004">
      <c r="A1577" t="str">
        <f t="shared" si="56"/>
        <v>44</v>
      </c>
      <c r="B1577" t="str">
        <f>"44.0499"</f>
        <v>44.0499</v>
      </c>
      <c r="C1577" t="s">
        <v>47</v>
      </c>
      <c r="D1577" t="s">
        <v>12</v>
      </c>
      <c r="E1577" t="s">
        <v>3492</v>
      </c>
      <c r="F1577" t="s">
        <v>3493</v>
      </c>
    </row>
    <row r="1578" spans="1:8" x14ac:dyDescent="0.55000000000000004">
      <c r="A1578" t="str">
        <f t="shared" si="56"/>
        <v>44</v>
      </c>
      <c r="B1578" t="str">
        <f>"44.05"</f>
        <v>44.05</v>
      </c>
      <c r="C1578" t="s">
        <v>8</v>
      </c>
      <c r="D1578" t="s">
        <v>12</v>
      </c>
      <c r="E1578" t="s">
        <v>3494</v>
      </c>
      <c r="F1578" t="s">
        <v>3495</v>
      </c>
    </row>
    <row r="1579" spans="1:8" x14ac:dyDescent="0.55000000000000004">
      <c r="A1579" t="str">
        <f t="shared" si="56"/>
        <v>44</v>
      </c>
      <c r="B1579" t="str">
        <f>"44.0501"</f>
        <v>44.0501</v>
      </c>
      <c r="C1579" t="s">
        <v>8</v>
      </c>
      <c r="D1579" t="s">
        <v>12</v>
      </c>
      <c r="E1579" t="s">
        <v>3496</v>
      </c>
      <c r="F1579" t="s">
        <v>3497</v>
      </c>
      <c r="H1579" t="s">
        <v>3498</v>
      </c>
    </row>
    <row r="1580" spans="1:8" x14ac:dyDescent="0.55000000000000004">
      <c r="A1580" t="str">
        <f t="shared" si="56"/>
        <v>44</v>
      </c>
      <c r="B1580" t="str">
        <f>"44.0502"</f>
        <v>44.0502</v>
      </c>
      <c r="C1580" t="s">
        <v>8</v>
      </c>
      <c r="D1580" t="s">
        <v>12</v>
      </c>
      <c r="E1580" t="s">
        <v>3499</v>
      </c>
      <c r="F1580" t="s">
        <v>3500</v>
      </c>
    </row>
    <row r="1581" spans="1:8" x14ac:dyDescent="0.55000000000000004">
      <c r="A1581" t="str">
        <f t="shared" si="56"/>
        <v>44</v>
      </c>
      <c r="B1581" t="str">
        <f>"44.0503"</f>
        <v>44.0503</v>
      </c>
      <c r="C1581" t="s">
        <v>8</v>
      </c>
      <c r="D1581" t="s">
        <v>12</v>
      </c>
      <c r="E1581" t="s">
        <v>3501</v>
      </c>
      <c r="F1581" t="s">
        <v>3502</v>
      </c>
      <c r="G1581" t="s">
        <v>2314</v>
      </c>
    </row>
    <row r="1582" spans="1:8" x14ac:dyDescent="0.55000000000000004">
      <c r="A1582" t="str">
        <f t="shared" si="56"/>
        <v>44</v>
      </c>
      <c r="B1582" t="str">
        <f>"44.0504"</f>
        <v>44.0504</v>
      </c>
      <c r="C1582" t="s">
        <v>8</v>
      </c>
      <c r="D1582" t="s">
        <v>12</v>
      </c>
      <c r="E1582" t="s">
        <v>3503</v>
      </c>
      <c r="F1582" t="s">
        <v>3504</v>
      </c>
      <c r="G1582" t="s">
        <v>2176</v>
      </c>
    </row>
    <row r="1583" spans="1:8" x14ac:dyDescent="0.55000000000000004">
      <c r="A1583" t="str">
        <f t="shared" si="56"/>
        <v>44</v>
      </c>
      <c r="B1583" t="str">
        <f>"44.0580"</f>
        <v>44.0580</v>
      </c>
      <c r="C1583" t="s">
        <v>47</v>
      </c>
      <c r="D1583" t="s">
        <v>12</v>
      </c>
      <c r="E1583" t="s">
        <v>82</v>
      </c>
      <c r="F1583" t="s">
        <v>83</v>
      </c>
    </row>
    <row r="1584" spans="1:8" x14ac:dyDescent="0.55000000000000004">
      <c r="A1584" t="str">
        <f t="shared" si="56"/>
        <v>44</v>
      </c>
      <c r="B1584" t="str">
        <f>"44.0599"</f>
        <v>44.0599</v>
      </c>
      <c r="C1584" t="s">
        <v>8</v>
      </c>
      <c r="D1584" t="s">
        <v>12</v>
      </c>
      <c r="E1584" t="s">
        <v>3505</v>
      </c>
      <c r="F1584" t="s">
        <v>3506</v>
      </c>
    </row>
    <row r="1585" spans="1:8" x14ac:dyDescent="0.55000000000000004">
      <c r="A1585" t="str">
        <f t="shared" si="56"/>
        <v>44</v>
      </c>
      <c r="B1585" t="str">
        <f>"44.07"</f>
        <v>44.07</v>
      </c>
      <c r="C1585" t="s">
        <v>8</v>
      </c>
      <c r="D1585" t="s">
        <v>12</v>
      </c>
      <c r="E1585" t="s">
        <v>3507</v>
      </c>
      <c r="F1585" t="s">
        <v>3508</v>
      </c>
    </row>
    <row r="1586" spans="1:8" x14ac:dyDescent="0.55000000000000004">
      <c r="A1586" t="str">
        <f t="shared" si="56"/>
        <v>44</v>
      </c>
      <c r="B1586" t="str">
        <f>"44.0701"</f>
        <v>44.0701</v>
      </c>
      <c r="C1586" t="s">
        <v>8</v>
      </c>
      <c r="D1586" t="s">
        <v>12</v>
      </c>
      <c r="E1586" t="s">
        <v>3507</v>
      </c>
      <c r="F1586" t="s">
        <v>3509</v>
      </c>
      <c r="G1586" t="s">
        <v>3510</v>
      </c>
    </row>
    <row r="1587" spans="1:8" x14ac:dyDescent="0.55000000000000004">
      <c r="A1587" t="str">
        <f t="shared" si="56"/>
        <v>44</v>
      </c>
      <c r="B1587" t="str">
        <f>"44.0702"</f>
        <v>44.0702</v>
      </c>
      <c r="C1587" t="s">
        <v>8</v>
      </c>
      <c r="D1587" t="s">
        <v>12</v>
      </c>
      <c r="E1587" t="s">
        <v>3511</v>
      </c>
      <c r="F1587" t="s">
        <v>3512</v>
      </c>
    </row>
    <row r="1588" spans="1:8" x14ac:dyDescent="0.55000000000000004">
      <c r="A1588" t="str">
        <f t="shared" si="56"/>
        <v>44</v>
      </c>
      <c r="B1588" t="str">
        <f>"44.0703"</f>
        <v>44.0703</v>
      </c>
      <c r="C1588" t="s">
        <v>47</v>
      </c>
      <c r="D1588" t="s">
        <v>12</v>
      </c>
      <c r="E1588" t="s">
        <v>3513</v>
      </c>
      <c r="F1588" t="s">
        <v>3514</v>
      </c>
    </row>
    <row r="1589" spans="1:8" x14ac:dyDescent="0.55000000000000004">
      <c r="A1589" t="str">
        <f t="shared" si="56"/>
        <v>44</v>
      </c>
      <c r="B1589" t="str">
        <f>"44.0799"</f>
        <v>44.0799</v>
      </c>
      <c r="C1589" t="s">
        <v>8</v>
      </c>
      <c r="D1589" t="s">
        <v>12</v>
      </c>
      <c r="E1589" t="s">
        <v>3515</v>
      </c>
      <c r="F1589" t="s">
        <v>3516</v>
      </c>
      <c r="G1589" t="s">
        <v>3510</v>
      </c>
    </row>
    <row r="1590" spans="1:8" x14ac:dyDescent="0.55000000000000004">
      <c r="A1590" t="str">
        <f t="shared" si="56"/>
        <v>44</v>
      </c>
      <c r="B1590" t="str">
        <f>"44.99"</f>
        <v>44.99</v>
      </c>
      <c r="C1590" t="s">
        <v>8</v>
      </c>
      <c r="D1590" t="s">
        <v>12</v>
      </c>
      <c r="E1590" t="s">
        <v>3517</v>
      </c>
      <c r="F1590" t="s">
        <v>3518</v>
      </c>
    </row>
    <row r="1591" spans="1:8" x14ac:dyDescent="0.55000000000000004">
      <c r="A1591" t="str">
        <f t="shared" si="56"/>
        <v>44</v>
      </c>
      <c r="B1591" t="str">
        <f>"44.9999"</f>
        <v>44.9999</v>
      </c>
      <c r="C1591" t="s">
        <v>8</v>
      </c>
      <c r="D1591" t="s">
        <v>12</v>
      </c>
      <c r="E1591" t="s">
        <v>3517</v>
      </c>
      <c r="F1591" t="s">
        <v>3519</v>
      </c>
    </row>
    <row r="1592" spans="1:8" x14ac:dyDescent="0.55000000000000004">
      <c r="A1592" t="str">
        <f>"45"</f>
        <v>45</v>
      </c>
      <c r="B1592" t="str">
        <f>"45"</f>
        <v>45</v>
      </c>
      <c r="C1592" t="s">
        <v>8</v>
      </c>
      <c r="D1592" t="s">
        <v>12</v>
      </c>
      <c r="E1592" t="s">
        <v>3520</v>
      </c>
      <c r="F1592" t="s">
        <v>3521</v>
      </c>
    </row>
    <row r="1593" spans="1:8" x14ac:dyDescent="0.55000000000000004">
      <c r="A1593" t="str">
        <f t="shared" ref="A1593:A1624" si="57">"45"</f>
        <v>45</v>
      </c>
      <c r="B1593" t="str">
        <f>"45.01"</f>
        <v>45.01</v>
      </c>
      <c r="C1593" t="s">
        <v>8</v>
      </c>
      <c r="D1593" t="s">
        <v>12</v>
      </c>
      <c r="E1593" t="s">
        <v>3522</v>
      </c>
      <c r="F1593" t="s">
        <v>3523</v>
      </c>
    </row>
    <row r="1594" spans="1:8" x14ac:dyDescent="0.55000000000000004">
      <c r="A1594" t="str">
        <f t="shared" si="57"/>
        <v>45</v>
      </c>
      <c r="B1594" t="str">
        <f>"45.0101"</f>
        <v>45.0101</v>
      </c>
      <c r="C1594" t="s">
        <v>8</v>
      </c>
      <c r="D1594" t="s">
        <v>12</v>
      </c>
      <c r="E1594" t="s">
        <v>3522</v>
      </c>
      <c r="F1594" t="s">
        <v>3524</v>
      </c>
    </row>
    <row r="1595" spans="1:8" x14ac:dyDescent="0.55000000000000004">
      <c r="A1595" t="str">
        <f t="shared" si="57"/>
        <v>45</v>
      </c>
      <c r="B1595" t="str">
        <f>"45.0102"</f>
        <v>45.0102</v>
      </c>
      <c r="C1595" t="s">
        <v>8</v>
      </c>
      <c r="D1595" t="s">
        <v>12</v>
      </c>
      <c r="E1595" t="s">
        <v>3525</v>
      </c>
      <c r="F1595" t="s">
        <v>3526</v>
      </c>
      <c r="G1595" t="s">
        <v>3527</v>
      </c>
      <c r="H1595" t="s">
        <v>3528</v>
      </c>
    </row>
    <row r="1596" spans="1:8" x14ac:dyDescent="0.55000000000000004">
      <c r="A1596" t="str">
        <f t="shared" si="57"/>
        <v>45</v>
      </c>
      <c r="B1596" t="str">
        <f>"45.0103"</f>
        <v>45.0103</v>
      </c>
      <c r="C1596" t="s">
        <v>47</v>
      </c>
      <c r="D1596" t="s">
        <v>12</v>
      </c>
      <c r="E1596" t="s">
        <v>3529</v>
      </c>
      <c r="F1596" t="s">
        <v>3530</v>
      </c>
      <c r="G1596" t="s">
        <v>3531</v>
      </c>
    </row>
    <row r="1597" spans="1:8" x14ac:dyDescent="0.55000000000000004">
      <c r="A1597" t="str">
        <f t="shared" si="57"/>
        <v>45</v>
      </c>
      <c r="B1597" t="str">
        <f>"45.0199"</f>
        <v>45.0199</v>
      </c>
      <c r="C1597" t="s">
        <v>47</v>
      </c>
      <c r="D1597" t="s">
        <v>12</v>
      </c>
      <c r="E1597" t="s">
        <v>3532</v>
      </c>
      <c r="F1597" t="s">
        <v>3533</v>
      </c>
    </row>
    <row r="1598" spans="1:8" x14ac:dyDescent="0.55000000000000004">
      <c r="A1598" t="str">
        <f t="shared" si="57"/>
        <v>45</v>
      </c>
      <c r="B1598" t="str">
        <f>"45.02"</f>
        <v>45.02</v>
      </c>
      <c r="C1598" t="s">
        <v>8</v>
      </c>
      <c r="D1598" t="s">
        <v>12</v>
      </c>
      <c r="E1598" t="s">
        <v>3534</v>
      </c>
      <c r="F1598" t="s">
        <v>3535</v>
      </c>
    </row>
    <row r="1599" spans="1:8" x14ac:dyDescent="0.55000000000000004">
      <c r="A1599" t="str">
        <f t="shared" si="57"/>
        <v>45</v>
      </c>
      <c r="B1599" t="str">
        <f>"45.0201"</f>
        <v>45.0201</v>
      </c>
      <c r="C1599" t="s">
        <v>8</v>
      </c>
      <c r="D1599" t="s">
        <v>9</v>
      </c>
      <c r="E1599" t="s">
        <v>3536</v>
      </c>
      <c r="F1599" t="s">
        <v>3537</v>
      </c>
    </row>
    <row r="1600" spans="1:8" x14ac:dyDescent="0.55000000000000004">
      <c r="A1600" t="str">
        <f t="shared" si="57"/>
        <v>45</v>
      </c>
      <c r="B1600" t="str">
        <f>"45.0202"</f>
        <v>45.0202</v>
      </c>
      <c r="C1600" t="s">
        <v>8</v>
      </c>
      <c r="D1600" t="s">
        <v>12</v>
      </c>
      <c r="E1600" t="s">
        <v>3538</v>
      </c>
      <c r="F1600" t="s">
        <v>3539</v>
      </c>
    </row>
    <row r="1601" spans="1:8" x14ac:dyDescent="0.55000000000000004">
      <c r="A1601" t="str">
        <f t="shared" si="57"/>
        <v>45</v>
      </c>
      <c r="B1601" t="str">
        <f>"45.0203"</f>
        <v>45.0203</v>
      </c>
      <c r="C1601" t="s">
        <v>8</v>
      </c>
      <c r="D1601" t="s">
        <v>12</v>
      </c>
      <c r="E1601" t="s">
        <v>3540</v>
      </c>
      <c r="F1601" t="s">
        <v>3541</v>
      </c>
      <c r="G1601" t="s">
        <v>3542</v>
      </c>
    </row>
    <row r="1602" spans="1:8" x14ac:dyDescent="0.55000000000000004">
      <c r="A1602" t="str">
        <f t="shared" si="57"/>
        <v>45</v>
      </c>
      <c r="B1602" t="str">
        <f>"45.0204"</f>
        <v>45.0204</v>
      </c>
      <c r="C1602" t="s">
        <v>8</v>
      </c>
      <c r="D1602" t="s">
        <v>12</v>
      </c>
      <c r="E1602" t="s">
        <v>3543</v>
      </c>
      <c r="F1602" t="s">
        <v>3544</v>
      </c>
      <c r="H1602" t="s">
        <v>3545</v>
      </c>
    </row>
    <row r="1603" spans="1:8" x14ac:dyDescent="0.55000000000000004">
      <c r="A1603" t="str">
        <f t="shared" si="57"/>
        <v>45</v>
      </c>
      <c r="B1603" t="str">
        <f>"45.0205"</f>
        <v>45.0205</v>
      </c>
      <c r="C1603" t="s">
        <v>47</v>
      </c>
      <c r="D1603" t="s">
        <v>12</v>
      </c>
      <c r="E1603" t="s">
        <v>3546</v>
      </c>
      <c r="F1603" t="s">
        <v>3547</v>
      </c>
      <c r="G1603" t="s">
        <v>3173</v>
      </c>
    </row>
    <row r="1604" spans="1:8" x14ac:dyDescent="0.55000000000000004">
      <c r="A1604" t="str">
        <f t="shared" si="57"/>
        <v>45</v>
      </c>
      <c r="B1604" t="str">
        <f>"45.0299"</f>
        <v>45.0299</v>
      </c>
      <c r="C1604" t="s">
        <v>8</v>
      </c>
      <c r="D1604" t="s">
        <v>12</v>
      </c>
      <c r="E1604" t="s">
        <v>3548</v>
      </c>
      <c r="F1604" t="s">
        <v>3549</v>
      </c>
    </row>
    <row r="1605" spans="1:8" x14ac:dyDescent="0.55000000000000004">
      <c r="A1605" t="str">
        <f t="shared" si="57"/>
        <v>45</v>
      </c>
      <c r="B1605" t="str">
        <f>"45.03"</f>
        <v>45.03</v>
      </c>
      <c r="C1605" t="s">
        <v>8</v>
      </c>
      <c r="D1605" t="s">
        <v>12</v>
      </c>
      <c r="E1605" t="s">
        <v>3550</v>
      </c>
      <c r="F1605" t="s">
        <v>3551</v>
      </c>
    </row>
    <row r="1606" spans="1:8" x14ac:dyDescent="0.55000000000000004">
      <c r="A1606" t="str">
        <f t="shared" si="57"/>
        <v>45</v>
      </c>
      <c r="B1606" t="str">
        <f>"45.0301"</f>
        <v>45.0301</v>
      </c>
      <c r="C1606" t="s">
        <v>8</v>
      </c>
      <c r="D1606" t="s">
        <v>12</v>
      </c>
      <c r="E1606" t="s">
        <v>3550</v>
      </c>
      <c r="F1606" t="s">
        <v>3552</v>
      </c>
      <c r="G1606" t="s">
        <v>3553</v>
      </c>
      <c r="H1606" t="s">
        <v>3554</v>
      </c>
    </row>
    <row r="1607" spans="1:8" x14ac:dyDescent="0.55000000000000004">
      <c r="A1607" t="str">
        <f t="shared" si="57"/>
        <v>45</v>
      </c>
      <c r="B1607" t="str">
        <f>"45.04"</f>
        <v>45.04</v>
      </c>
      <c r="C1607" t="s">
        <v>8</v>
      </c>
      <c r="D1607" t="s">
        <v>12</v>
      </c>
      <c r="E1607" t="s">
        <v>3555</v>
      </c>
      <c r="F1607" t="s">
        <v>3556</v>
      </c>
    </row>
    <row r="1608" spans="1:8" x14ac:dyDescent="0.55000000000000004">
      <c r="A1608" t="str">
        <f t="shared" si="57"/>
        <v>45</v>
      </c>
      <c r="B1608" t="str">
        <f>"45.0401"</f>
        <v>45.0401</v>
      </c>
      <c r="C1608" t="s">
        <v>8</v>
      </c>
      <c r="D1608" t="s">
        <v>12</v>
      </c>
      <c r="E1608" t="s">
        <v>3555</v>
      </c>
      <c r="F1608" t="s">
        <v>3557</v>
      </c>
      <c r="G1608" t="s">
        <v>3558</v>
      </c>
    </row>
    <row r="1609" spans="1:8" x14ac:dyDescent="0.55000000000000004">
      <c r="A1609" t="str">
        <f t="shared" si="57"/>
        <v>45</v>
      </c>
      <c r="B1609" t="str">
        <f>"45.05"</f>
        <v>45.05</v>
      </c>
      <c r="C1609" t="s">
        <v>8</v>
      </c>
      <c r="D1609" t="s">
        <v>9</v>
      </c>
      <c r="E1609" t="s">
        <v>3559</v>
      </c>
      <c r="F1609" t="s">
        <v>3560</v>
      </c>
    </row>
    <row r="1610" spans="1:8" x14ac:dyDescent="0.55000000000000004">
      <c r="A1610" t="str">
        <f t="shared" si="57"/>
        <v>45</v>
      </c>
      <c r="B1610" t="str">
        <f>"45.0501"</f>
        <v>45.0501</v>
      </c>
      <c r="C1610" t="s">
        <v>8</v>
      </c>
      <c r="D1610" t="s">
        <v>12</v>
      </c>
      <c r="E1610" t="s">
        <v>3561</v>
      </c>
      <c r="F1610" t="s">
        <v>3562</v>
      </c>
    </row>
    <row r="1611" spans="1:8" x14ac:dyDescent="0.55000000000000004">
      <c r="A1611" t="str">
        <f t="shared" si="57"/>
        <v>45</v>
      </c>
      <c r="B1611" t="str">
        <f>"45.0502"</f>
        <v>45.0502</v>
      </c>
      <c r="C1611" t="s">
        <v>47</v>
      </c>
      <c r="D1611" t="s">
        <v>12</v>
      </c>
      <c r="E1611" t="s">
        <v>3563</v>
      </c>
      <c r="F1611" t="s">
        <v>3564</v>
      </c>
    </row>
    <row r="1612" spans="1:8" x14ac:dyDescent="0.55000000000000004">
      <c r="A1612" t="str">
        <f t="shared" si="57"/>
        <v>45</v>
      </c>
      <c r="B1612" t="str">
        <f>"45.0599"</f>
        <v>45.0599</v>
      </c>
      <c r="C1612" t="s">
        <v>47</v>
      </c>
      <c r="D1612" t="s">
        <v>12</v>
      </c>
      <c r="E1612" t="s">
        <v>3565</v>
      </c>
      <c r="F1612" t="s">
        <v>3566</v>
      </c>
    </row>
    <row r="1613" spans="1:8" x14ac:dyDescent="0.55000000000000004">
      <c r="A1613" t="str">
        <f t="shared" si="57"/>
        <v>45</v>
      </c>
      <c r="B1613" t="str">
        <f>"45.06"</f>
        <v>45.06</v>
      </c>
      <c r="C1613" t="s">
        <v>8</v>
      </c>
      <c r="D1613" t="s">
        <v>12</v>
      </c>
      <c r="E1613" t="s">
        <v>3567</v>
      </c>
      <c r="F1613" t="s">
        <v>3568</v>
      </c>
    </row>
    <row r="1614" spans="1:8" x14ac:dyDescent="0.55000000000000004">
      <c r="A1614" t="str">
        <f t="shared" si="57"/>
        <v>45</v>
      </c>
      <c r="B1614" t="str">
        <f>"45.0601"</f>
        <v>45.0601</v>
      </c>
      <c r="C1614" t="s">
        <v>8</v>
      </c>
      <c r="D1614" t="s">
        <v>12</v>
      </c>
      <c r="E1614" t="s">
        <v>3569</v>
      </c>
      <c r="F1614" t="s">
        <v>3570</v>
      </c>
      <c r="G1614" t="s">
        <v>3571</v>
      </c>
    </row>
    <row r="1615" spans="1:8" x14ac:dyDescent="0.55000000000000004">
      <c r="A1615" t="str">
        <f t="shared" si="57"/>
        <v>45</v>
      </c>
      <c r="B1615" t="str">
        <f>"45.0602"</f>
        <v>45.0602</v>
      </c>
      <c r="C1615" t="s">
        <v>8</v>
      </c>
      <c r="D1615" t="s">
        <v>12</v>
      </c>
      <c r="E1615" t="s">
        <v>3572</v>
      </c>
      <c r="F1615" t="s">
        <v>3573</v>
      </c>
      <c r="G1615" t="s">
        <v>3574</v>
      </c>
      <c r="H1615" t="s">
        <v>3575</v>
      </c>
    </row>
    <row r="1616" spans="1:8" x14ac:dyDescent="0.55000000000000004">
      <c r="A1616" t="str">
        <f t="shared" si="57"/>
        <v>45</v>
      </c>
      <c r="B1616" t="str">
        <f>"45.0603"</f>
        <v>45.0603</v>
      </c>
      <c r="C1616" t="s">
        <v>8</v>
      </c>
      <c r="D1616" t="s">
        <v>12</v>
      </c>
      <c r="E1616" t="s">
        <v>3576</v>
      </c>
      <c r="F1616" t="s">
        <v>3577</v>
      </c>
      <c r="G1616" t="s">
        <v>3578</v>
      </c>
      <c r="H1616" t="s">
        <v>3579</v>
      </c>
    </row>
    <row r="1617" spans="1:8" x14ac:dyDescent="0.55000000000000004">
      <c r="A1617" t="str">
        <f t="shared" si="57"/>
        <v>45</v>
      </c>
      <c r="B1617" t="str">
        <f>"45.0604"</f>
        <v>45.0604</v>
      </c>
      <c r="C1617" t="s">
        <v>8</v>
      </c>
      <c r="D1617" t="s">
        <v>12</v>
      </c>
      <c r="E1617" t="s">
        <v>3580</v>
      </c>
      <c r="F1617" t="s">
        <v>3581</v>
      </c>
      <c r="G1617" t="s">
        <v>3582</v>
      </c>
    </row>
    <row r="1618" spans="1:8" x14ac:dyDescent="0.55000000000000004">
      <c r="A1618" t="str">
        <f t="shared" si="57"/>
        <v>45</v>
      </c>
      <c r="B1618" t="str">
        <f>"45.0605"</f>
        <v>45.0605</v>
      </c>
      <c r="C1618" t="s">
        <v>8</v>
      </c>
      <c r="D1618" t="s">
        <v>12</v>
      </c>
      <c r="E1618" t="s">
        <v>3583</v>
      </c>
      <c r="F1618" t="s">
        <v>3584</v>
      </c>
      <c r="G1618" t="s">
        <v>3585</v>
      </c>
    </row>
    <row r="1619" spans="1:8" x14ac:dyDescent="0.55000000000000004">
      <c r="A1619" t="str">
        <f t="shared" si="57"/>
        <v>45</v>
      </c>
      <c r="B1619" t="str">
        <f>"45.0699"</f>
        <v>45.0699</v>
      </c>
      <c r="C1619" t="s">
        <v>8</v>
      </c>
      <c r="D1619" t="s">
        <v>12</v>
      </c>
      <c r="E1619" t="s">
        <v>3586</v>
      </c>
      <c r="F1619" t="s">
        <v>3587</v>
      </c>
      <c r="G1619" t="s">
        <v>3020</v>
      </c>
      <c r="H1619" t="s">
        <v>3588</v>
      </c>
    </row>
    <row r="1620" spans="1:8" x14ac:dyDescent="0.55000000000000004">
      <c r="A1620" t="str">
        <f t="shared" si="57"/>
        <v>45</v>
      </c>
      <c r="B1620" t="str">
        <f>"45.07"</f>
        <v>45.07</v>
      </c>
      <c r="C1620" t="s">
        <v>8</v>
      </c>
      <c r="D1620" t="s">
        <v>12</v>
      </c>
      <c r="E1620" t="s">
        <v>3589</v>
      </c>
      <c r="F1620" t="s">
        <v>3590</v>
      </c>
    </row>
    <row r="1621" spans="1:8" x14ac:dyDescent="0.55000000000000004">
      <c r="A1621" t="str">
        <f t="shared" si="57"/>
        <v>45</v>
      </c>
      <c r="B1621" t="str">
        <f>"45.0701"</f>
        <v>45.0701</v>
      </c>
      <c r="C1621" t="s">
        <v>8</v>
      </c>
      <c r="D1621" t="s">
        <v>12</v>
      </c>
      <c r="E1621" t="s">
        <v>3591</v>
      </c>
      <c r="F1621" t="s">
        <v>3592</v>
      </c>
      <c r="G1621" t="s">
        <v>3593</v>
      </c>
      <c r="H1621" t="s">
        <v>3594</v>
      </c>
    </row>
    <row r="1622" spans="1:8" x14ac:dyDescent="0.55000000000000004">
      <c r="A1622" t="str">
        <f t="shared" si="57"/>
        <v>45</v>
      </c>
      <c r="B1622" t="str">
        <f>"45.0702"</f>
        <v>45.0702</v>
      </c>
      <c r="C1622" t="s">
        <v>8</v>
      </c>
      <c r="D1622" t="s">
        <v>12</v>
      </c>
      <c r="E1622" t="s">
        <v>3595</v>
      </c>
      <c r="F1622" t="s">
        <v>3596</v>
      </c>
      <c r="G1622" t="s">
        <v>3597</v>
      </c>
      <c r="H1622" t="s">
        <v>3598</v>
      </c>
    </row>
    <row r="1623" spans="1:8" x14ac:dyDescent="0.55000000000000004">
      <c r="A1623" t="str">
        <f t="shared" si="57"/>
        <v>45</v>
      </c>
      <c r="B1623" t="str">
        <f>"45.0799"</f>
        <v>45.0799</v>
      </c>
      <c r="C1623" t="s">
        <v>8</v>
      </c>
      <c r="D1623" t="s">
        <v>12</v>
      </c>
      <c r="E1623" t="s">
        <v>3599</v>
      </c>
      <c r="F1623" t="s">
        <v>3600</v>
      </c>
    </row>
    <row r="1624" spans="1:8" x14ac:dyDescent="0.55000000000000004">
      <c r="A1624" t="str">
        <f t="shared" si="57"/>
        <v>45</v>
      </c>
      <c r="B1624" t="str">
        <f>"45.09"</f>
        <v>45.09</v>
      </c>
      <c r="C1624" t="s">
        <v>8</v>
      </c>
      <c r="D1624" t="s">
        <v>12</v>
      </c>
      <c r="E1624" t="s">
        <v>3601</v>
      </c>
      <c r="F1624" t="s">
        <v>3602</v>
      </c>
    </row>
    <row r="1625" spans="1:8" x14ac:dyDescent="0.55000000000000004">
      <c r="A1625" t="str">
        <f t="shared" ref="A1625:A1648" si="58">"45"</f>
        <v>45</v>
      </c>
      <c r="B1625" t="str">
        <f>"45.0901"</f>
        <v>45.0901</v>
      </c>
      <c r="C1625" t="s">
        <v>8</v>
      </c>
      <c r="D1625" t="s">
        <v>12</v>
      </c>
      <c r="E1625" t="s">
        <v>3603</v>
      </c>
      <c r="F1625" t="s">
        <v>3604</v>
      </c>
      <c r="G1625" t="s">
        <v>3605</v>
      </c>
      <c r="H1625" t="s">
        <v>3606</v>
      </c>
    </row>
    <row r="1626" spans="1:8" x14ac:dyDescent="0.55000000000000004">
      <c r="A1626" t="str">
        <f t="shared" si="58"/>
        <v>45</v>
      </c>
      <c r="B1626" t="str">
        <f>"45.0902"</f>
        <v>45.0902</v>
      </c>
      <c r="C1626" t="s">
        <v>8</v>
      </c>
      <c r="D1626" t="s">
        <v>12</v>
      </c>
      <c r="E1626" t="s">
        <v>3607</v>
      </c>
      <c r="F1626" t="s">
        <v>3608</v>
      </c>
      <c r="G1626" t="s">
        <v>3609</v>
      </c>
      <c r="H1626" t="s">
        <v>3610</v>
      </c>
    </row>
    <row r="1627" spans="1:8" x14ac:dyDescent="0.55000000000000004">
      <c r="A1627" t="str">
        <f t="shared" si="58"/>
        <v>45</v>
      </c>
      <c r="B1627" t="str">
        <f>"45.0999"</f>
        <v>45.0999</v>
      </c>
      <c r="C1627" t="s">
        <v>8</v>
      </c>
      <c r="D1627" t="s">
        <v>12</v>
      </c>
      <c r="E1627" t="s">
        <v>3611</v>
      </c>
      <c r="F1627" t="s">
        <v>3612</v>
      </c>
    </row>
    <row r="1628" spans="1:8" x14ac:dyDescent="0.55000000000000004">
      <c r="A1628" t="str">
        <f t="shared" si="58"/>
        <v>45</v>
      </c>
      <c r="B1628" t="str">
        <f>"45.10"</f>
        <v>45.10</v>
      </c>
      <c r="C1628" t="s">
        <v>8</v>
      </c>
      <c r="D1628" t="s">
        <v>12</v>
      </c>
      <c r="E1628" t="s">
        <v>3613</v>
      </c>
      <c r="F1628" t="s">
        <v>3614</v>
      </c>
    </row>
    <row r="1629" spans="1:8" x14ac:dyDescent="0.55000000000000004">
      <c r="A1629" t="str">
        <f t="shared" si="58"/>
        <v>45</v>
      </c>
      <c r="B1629" t="str">
        <f>"45.1001"</f>
        <v>45.1001</v>
      </c>
      <c r="C1629" t="s">
        <v>8</v>
      </c>
      <c r="D1629" t="s">
        <v>12</v>
      </c>
      <c r="E1629" t="s">
        <v>3615</v>
      </c>
      <c r="F1629" t="s">
        <v>3616</v>
      </c>
    </row>
    <row r="1630" spans="1:8" x14ac:dyDescent="0.55000000000000004">
      <c r="A1630" t="str">
        <f t="shared" si="58"/>
        <v>45</v>
      </c>
      <c r="B1630" t="str">
        <f>"45.1002"</f>
        <v>45.1002</v>
      </c>
      <c r="C1630" t="s">
        <v>8</v>
      </c>
      <c r="D1630" t="s">
        <v>12</v>
      </c>
      <c r="E1630" t="s">
        <v>3617</v>
      </c>
      <c r="F1630" t="s">
        <v>3618</v>
      </c>
    </row>
    <row r="1631" spans="1:8" x14ac:dyDescent="0.55000000000000004">
      <c r="A1631" t="str">
        <f t="shared" si="58"/>
        <v>45</v>
      </c>
      <c r="B1631" t="str">
        <f>"45.1003"</f>
        <v>45.1003</v>
      </c>
      <c r="C1631" t="s">
        <v>8</v>
      </c>
      <c r="D1631" t="s">
        <v>12</v>
      </c>
      <c r="E1631" t="s">
        <v>3619</v>
      </c>
      <c r="F1631" t="s">
        <v>3620</v>
      </c>
    </row>
    <row r="1632" spans="1:8" x14ac:dyDescent="0.55000000000000004">
      <c r="A1632" t="str">
        <f t="shared" si="58"/>
        <v>45</v>
      </c>
      <c r="B1632" t="str">
        <f>"45.1004"</f>
        <v>45.1004</v>
      </c>
      <c r="C1632" t="s">
        <v>8</v>
      </c>
      <c r="D1632" t="s">
        <v>12</v>
      </c>
      <c r="E1632" t="s">
        <v>3621</v>
      </c>
      <c r="F1632" t="s">
        <v>3622</v>
      </c>
      <c r="H1632" t="s">
        <v>3623</v>
      </c>
    </row>
    <row r="1633" spans="1:8" x14ac:dyDescent="0.55000000000000004">
      <c r="A1633" t="str">
        <f t="shared" si="58"/>
        <v>45</v>
      </c>
      <c r="B1633" t="str">
        <f>"45.1099"</f>
        <v>45.1099</v>
      </c>
      <c r="C1633" t="s">
        <v>8</v>
      </c>
      <c r="D1633" t="s">
        <v>12</v>
      </c>
      <c r="E1633" t="s">
        <v>3624</v>
      </c>
      <c r="F1633" t="s">
        <v>3625</v>
      </c>
      <c r="G1633" t="s">
        <v>3626</v>
      </c>
    </row>
    <row r="1634" spans="1:8" x14ac:dyDescent="0.55000000000000004">
      <c r="A1634" t="str">
        <f t="shared" si="58"/>
        <v>45</v>
      </c>
      <c r="B1634" t="str">
        <f>"45.11"</f>
        <v>45.11</v>
      </c>
      <c r="C1634" t="s">
        <v>8</v>
      </c>
      <c r="D1634" t="s">
        <v>12</v>
      </c>
      <c r="E1634" t="s">
        <v>3627</v>
      </c>
      <c r="F1634" t="s">
        <v>3628</v>
      </c>
    </row>
    <row r="1635" spans="1:8" x14ac:dyDescent="0.55000000000000004">
      <c r="A1635" t="str">
        <f t="shared" si="58"/>
        <v>45</v>
      </c>
      <c r="B1635" t="str">
        <f>"45.1101"</f>
        <v>45.1101</v>
      </c>
      <c r="C1635" t="s">
        <v>8</v>
      </c>
      <c r="D1635" t="s">
        <v>9</v>
      </c>
      <c r="E1635" t="s">
        <v>3629</v>
      </c>
      <c r="F1635" t="s">
        <v>3630</v>
      </c>
    </row>
    <row r="1636" spans="1:8" x14ac:dyDescent="0.55000000000000004">
      <c r="A1636" t="str">
        <f t="shared" si="58"/>
        <v>45</v>
      </c>
      <c r="B1636" t="str">
        <f>"45.1102"</f>
        <v>45.1102</v>
      </c>
      <c r="C1636" t="s">
        <v>47</v>
      </c>
      <c r="D1636" t="s">
        <v>12</v>
      </c>
      <c r="E1636" t="s">
        <v>3631</v>
      </c>
      <c r="F1636" t="s">
        <v>3632</v>
      </c>
    </row>
    <row r="1637" spans="1:8" x14ac:dyDescent="0.55000000000000004">
      <c r="A1637" t="str">
        <f t="shared" si="58"/>
        <v>45</v>
      </c>
      <c r="B1637" t="str">
        <f>"45.1103"</f>
        <v>45.1103</v>
      </c>
      <c r="C1637" t="s">
        <v>173</v>
      </c>
      <c r="D1637" t="s">
        <v>12</v>
      </c>
      <c r="E1637" t="s">
        <v>3633</v>
      </c>
      <c r="F1637" t="s">
        <v>3634</v>
      </c>
      <c r="H1637" t="s">
        <v>3635</v>
      </c>
    </row>
    <row r="1638" spans="1:8" x14ac:dyDescent="0.55000000000000004">
      <c r="A1638" t="str">
        <f t="shared" si="58"/>
        <v>45</v>
      </c>
      <c r="B1638" t="str">
        <f>"45.1199"</f>
        <v>45.1199</v>
      </c>
      <c r="C1638" t="s">
        <v>47</v>
      </c>
      <c r="D1638" t="s">
        <v>12</v>
      </c>
      <c r="E1638" t="s">
        <v>3636</v>
      </c>
      <c r="F1638" t="s">
        <v>3637</v>
      </c>
    </row>
    <row r="1639" spans="1:8" x14ac:dyDescent="0.55000000000000004">
      <c r="A1639" t="str">
        <f t="shared" si="58"/>
        <v>45</v>
      </c>
      <c r="B1639" t="str">
        <f>"45.12"</f>
        <v>45.12</v>
      </c>
      <c r="C1639" t="s">
        <v>8</v>
      </c>
      <c r="D1639" t="s">
        <v>12</v>
      </c>
      <c r="E1639" t="s">
        <v>3638</v>
      </c>
      <c r="F1639" t="s">
        <v>3639</v>
      </c>
    </row>
    <row r="1640" spans="1:8" x14ac:dyDescent="0.55000000000000004">
      <c r="A1640" t="str">
        <f t="shared" si="58"/>
        <v>45</v>
      </c>
      <c r="B1640" t="str">
        <f>"45.1201"</f>
        <v>45.1201</v>
      </c>
      <c r="C1640" t="s">
        <v>8</v>
      </c>
      <c r="D1640" t="s">
        <v>12</v>
      </c>
      <c r="E1640" t="s">
        <v>3638</v>
      </c>
      <c r="F1640" t="s">
        <v>3640</v>
      </c>
      <c r="G1640" t="s">
        <v>3641</v>
      </c>
      <c r="H1640" t="s">
        <v>3642</v>
      </c>
    </row>
    <row r="1641" spans="1:8" x14ac:dyDescent="0.55000000000000004">
      <c r="A1641" t="str">
        <f t="shared" si="58"/>
        <v>45</v>
      </c>
      <c r="B1641" t="str">
        <f>"45.13"</f>
        <v>45.13</v>
      </c>
      <c r="C1641" t="s">
        <v>8</v>
      </c>
      <c r="D1641" t="s">
        <v>12</v>
      </c>
      <c r="E1641" t="s">
        <v>3643</v>
      </c>
      <c r="F1641" t="s">
        <v>3644</v>
      </c>
    </row>
    <row r="1642" spans="1:8" x14ac:dyDescent="0.55000000000000004">
      <c r="A1642" t="str">
        <f t="shared" si="58"/>
        <v>45</v>
      </c>
      <c r="B1642" t="str">
        <f>"45.1301"</f>
        <v>45.1301</v>
      </c>
      <c r="C1642" t="s">
        <v>8</v>
      </c>
      <c r="D1642" t="s">
        <v>12</v>
      </c>
      <c r="E1642" t="s">
        <v>3643</v>
      </c>
      <c r="F1642" t="s">
        <v>3645</v>
      </c>
      <c r="G1642" t="s">
        <v>3646</v>
      </c>
    </row>
    <row r="1643" spans="1:8" x14ac:dyDescent="0.55000000000000004">
      <c r="A1643" t="str">
        <f t="shared" si="58"/>
        <v>45</v>
      </c>
      <c r="B1643" t="str">
        <f>"45.14"</f>
        <v>45.14</v>
      </c>
      <c r="C1643" t="s">
        <v>3647</v>
      </c>
      <c r="D1643" t="s">
        <v>12</v>
      </c>
      <c r="E1643" t="s">
        <v>3633</v>
      </c>
      <c r="F1643" t="s">
        <v>3648</v>
      </c>
    </row>
    <row r="1644" spans="1:8" x14ac:dyDescent="0.55000000000000004">
      <c r="A1644" t="str">
        <f t="shared" si="58"/>
        <v>45</v>
      </c>
      <c r="B1644" t="str">
        <f>"45.1401"</f>
        <v>45.1401</v>
      </c>
      <c r="C1644" t="s">
        <v>70</v>
      </c>
      <c r="D1644" t="s">
        <v>12</v>
      </c>
      <c r="E1644" t="s">
        <v>3633</v>
      </c>
      <c r="F1644" t="s">
        <v>3649</v>
      </c>
    </row>
    <row r="1645" spans="1:8" x14ac:dyDescent="0.55000000000000004">
      <c r="A1645" t="str">
        <f t="shared" si="58"/>
        <v>45</v>
      </c>
      <c r="B1645" t="str">
        <f>"45.15"</f>
        <v>45.15</v>
      </c>
      <c r="C1645" t="s">
        <v>47</v>
      </c>
      <c r="D1645" t="s">
        <v>12</v>
      </c>
      <c r="E1645" t="s">
        <v>3650</v>
      </c>
      <c r="F1645" t="s">
        <v>3651</v>
      </c>
    </row>
    <row r="1646" spans="1:8" x14ac:dyDescent="0.55000000000000004">
      <c r="A1646" t="str">
        <f t="shared" si="58"/>
        <v>45</v>
      </c>
      <c r="B1646" t="str">
        <f>"45.1501"</f>
        <v>45.1501</v>
      </c>
      <c r="C1646" t="s">
        <v>47</v>
      </c>
      <c r="D1646" t="s">
        <v>12</v>
      </c>
      <c r="E1646" t="s">
        <v>3650</v>
      </c>
      <c r="F1646" t="s">
        <v>3652</v>
      </c>
    </row>
    <row r="1647" spans="1:8" x14ac:dyDescent="0.55000000000000004">
      <c r="A1647" t="str">
        <f t="shared" si="58"/>
        <v>45</v>
      </c>
      <c r="B1647" t="str">
        <f>"45.99"</f>
        <v>45.99</v>
      </c>
      <c r="C1647" t="s">
        <v>8</v>
      </c>
      <c r="D1647" t="s">
        <v>12</v>
      </c>
      <c r="E1647" t="s">
        <v>3532</v>
      </c>
      <c r="F1647" t="s">
        <v>3653</v>
      </c>
    </row>
    <row r="1648" spans="1:8" x14ac:dyDescent="0.55000000000000004">
      <c r="A1648" t="str">
        <f t="shared" si="58"/>
        <v>45</v>
      </c>
      <c r="B1648" t="str">
        <f>"45.9999"</f>
        <v>45.9999</v>
      </c>
      <c r="C1648" t="s">
        <v>8</v>
      </c>
      <c r="D1648" t="s">
        <v>12</v>
      </c>
      <c r="E1648" t="s">
        <v>3532</v>
      </c>
      <c r="F1648" t="s">
        <v>3654</v>
      </c>
    </row>
    <row r="1649" spans="1:8" x14ac:dyDescent="0.55000000000000004">
      <c r="A1649" t="str">
        <f>"46"</f>
        <v>46</v>
      </c>
      <c r="B1649" t="str">
        <f>"46"</f>
        <v>46</v>
      </c>
      <c r="C1649" t="s">
        <v>8</v>
      </c>
      <c r="D1649" t="s">
        <v>12</v>
      </c>
      <c r="E1649" t="s">
        <v>3655</v>
      </c>
      <c r="F1649" t="s">
        <v>3656</v>
      </c>
    </row>
    <row r="1650" spans="1:8" x14ac:dyDescent="0.55000000000000004">
      <c r="A1650" t="str">
        <f t="shared" ref="A1650:A1682" si="59">"46"</f>
        <v>46</v>
      </c>
      <c r="B1650" t="str">
        <f>"46.00"</f>
        <v>46.00</v>
      </c>
      <c r="C1650" t="s">
        <v>8</v>
      </c>
      <c r="D1650" t="s">
        <v>12</v>
      </c>
      <c r="E1650" t="s">
        <v>3657</v>
      </c>
      <c r="F1650" t="s">
        <v>3658</v>
      </c>
    </row>
    <row r="1651" spans="1:8" x14ac:dyDescent="0.55000000000000004">
      <c r="A1651" t="str">
        <f t="shared" si="59"/>
        <v>46</v>
      </c>
      <c r="B1651" t="str">
        <f>"46.0000"</f>
        <v>46.0000</v>
      </c>
      <c r="C1651" t="s">
        <v>8</v>
      </c>
      <c r="D1651" t="s">
        <v>12</v>
      </c>
      <c r="E1651" t="s">
        <v>3657</v>
      </c>
      <c r="F1651" t="s">
        <v>3659</v>
      </c>
      <c r="H1651" t="s">
        <v>3660</v>
      </c>
    </row>
    <row r="1652" spans="1:8" x14ac:dyDescent="0.55000000000000004">
      <c r="A1652" t="str">
        <f t="shared" si="59"/>
        <v>46</v>
      </c>
      <c r="B1652" t="str">
        <f>"46.01"</f>
        <v>46.01</v>
      </c>
      <c r="C1652" t="s">
        <v>8</v>
      </c>
      <c r="D1652" t="s">
        <v>12</v>
      </c>
      <c r="E1652" t="s">
        <v>3661</v>
      </c>
      <c r="F1652" t="s">
        <v>3662</v>
      </c>
    </row>
    <row r="1653" spans="1:8" x14ac:dyDescent="0.55000000000000004">
      <c r="A1653" t="str">
        <f t="shared" si="59"/>
        <v>46</v>
      </c>
      <c r="B1653" t="str">
        <f>"46.0101"</f>
        <v>46.0101</v>
      </c>
      <c r="C1653" t="s">
        <v>8</v>
      </c>
      <c r="D1653" t="s">
        <v>12</v>
      </c>
      <c r="E1653" t="s">
        <v>3661</v>
      </c>
      <c r="F1653" t="s">
        <v>3663</v>
      </c>
      <c r="H1653" t="s">
        <v>3664</v>
      </c>
    </row>
    <row r="1654" spans="1:8" x14ac:dyDescent="0.55000000000000004">
      <c r="A1654" t="str">
        <f t="shared" si="59"/>
        <v>46</v>
      </c>
      <c r="B1654" t="str">
        <f>"46.02"</f>
        <v>46.02</v>
      </c>
      <c r="C1654" t="s">
        <v>8</v>
      </c>
      <c r="D1654" t="s">
        <v>12</v>
      </c>
      <c r="E1654" t="s">
        <v>3665</v>
      </c>
      <c r="F1654" t="s">
        <v>3666</v>
      </c>
    </row>
    <row r="1655" spans="1:8" x14ac:dyDescent="0.55000000000000004">
      <c r="A1655" t="str">
        <f t="shared" si="59"/>
        <v>46</v>
      </c>
      <c r="B1655" t="str">
        <f>"46.0201"</f>
        <v>46.0201</v>
      </c>
      <c r="C1655" t="s">
        <v>8</v>
      </c>
      <c r="D1655" t="s">
        <v>12</v>
      </c>
      <c r="E1655" t="s">
        <v>3667</v>
      </c>
      <c r="F1655" t="s">
        <v>3668</v>
      </c>
      <c r="H1655" t="s">
        <v>3669</v>
      </c>
    </row>
    <row r="1656" spans="1:8" x14ac:dyDescent="0.55000000000000004">
      <c r="A1656" t="str">
        <f t="shared" si="59"/>
        <v>46</v>
      </c>
      <c r="B1656" t="str">
        <f>"46.03"</f>
        <v>46.03</v>
      </c>
      <c r="C1656" t="s">
        <v>8</v>
      </c>
      <c r="D1656" t="s">
        <v>12</v>
      </c>
      <c r="E1656" t="s">
        <v>3670</v>
      </c>
      <c r="F1656" t="s">
        <v>3671</v>
      </c>
    </row>
    <row r="1657" spans="1:8" x14ac:dyDescent="0.55000000000000004">
      <c r="A1657" t="str">
        <f t="shared" si="59"/>
        <v>46</v>
      </c>
      <c r="B1657" t="str">
        <f>"46.0301"</f>
        <v>46.0301</v>
      </c>
      <c r="C1657" t="s">
        <v>8</v>
      </c>
      <c r="D1657" t="s">
        <v>12</v>
      </c>
      <c r="E1657" t="s">
        <v>3672</v>
      </c>
      <c r="F1657" t="s">
        <v>3673</v>
      </c>
    </row>
    <row r="1658" spans="1:8" x14ac:dyDescent="0.55000000000000004">
      <c r="A1658" t="str">
        <f t="shared" si="59"/>
        <v>46</v>
      </c>
      <c r="B1658" t="str">
        <f>"46.0302"</f>
        <v>46.0302</v>
      </c>
      <c r="C1658" t="s">
        <v>8</v>
      </c>
      <c r="D1658" t="s">
        <v>12</v>
      </c>
      <c r="E1658" t="s">
        <v>3674</v>
      </c>
      <c r="F1658" t="s">
        <v>3675</v>
      </c>
      <c r="G1658" t="s">
        <v>3676</v>
      </c>
      <c r="H1658" t="s">
        <v>3677</v>
      </c>
    </row>
    <row r="1659" spans="1:8" x14ac:dyDescent="0.55000000000000004">
      <c r="A1659" t="str">
        <f t="shared" si="59"/>
        <v>46</v>
      </c>
      <c r="B1659" t="str">
        <f>"46.0303"</f>
        <v>46.0303</v>
      </c>
      <c r="C1659" t="s">
        <v>8</v>
      </c>
      <c r="D1659" t="s">
        <v>12</v>
      </c>
      <c r="E1659" t="s">
        <v>3678</v>
      </c>
      <c r="F1659" t="s">
        <v>3679</v>
      </c>
      <c r="H1659" t="s">
        <v>3680</v>
      </c>
    </row>
    <row r="1660" spans="1:8" x14ac:dyDescent="0.55000000000000004">
      <c r="A1660" t="str">
        <f t="shared" si="59"/>
        <v>46</v>
      </c>
      <c r="B1660" t="str">
        <f>"46.0399"</f>
        <v>46.0399</v>
      </c>
      <c r="C1660" t="s">
        <v>8</v>
      </c>
      <c r="D1660" t="s">
        <v>12</v>
      </c>
      <c r="E1660" t="s">
        <v>3681</v>
      </c>
      <c r="F1660" t="s">
        <v>3682</v>
      </c>
    </row>
    <row r="1661" spans="1:8" x14ac:dyDescent="0.55000000000000004">
      <c r="A1661" t="str">
        <f t="shared" si="59"/>
        <v>46</v>
      </c>
      <c r="B1661" t="str">
        <f>"46.04"</f>
        <v>46.04</v>
      </c>
      <c r="C1661" t="s">
        <v>8</v>
      </c>
      <c r="D1661" t="s">
        <v>12</v>
      </c>
      <c r="E1661" t="s">
        <v>3683</v>
      </c>
      <c r="F1661" t="s">
        <v>3684</v>
      </c>
    </row>
    <row r="1662" spans="1:8" x14ac:dyDescent="0.55000000000000004">
      <c r="A1662" t="str">
        <f t="shared" si="59"/>
        <v>46</v>
      </c>
      <c r="B1662" t="str">
        <f>"46.0401"</f>
        <v>46.0401</v>
      </c>
      <c r="C1662" t="s">
        <v>8</v>
      </c>
      <c r="D1662" t="s">
        <v>12</v>
      </c>
      <c r="E1662" t="s">
        <v>3685</v>
      </c>
      <c r="F1662" t="s">
        <v>3686</v>
      </c>
      <c r="H1662" t="s">
        <v>3687</v>
      </c>
    </row>
    <row r="1663" spans="1:8" x14ac:dyDescent="0.55000000000000004">
      <c r="A1663" t="str">
        <f t="shared" si="59"/>
        <v>46</v>
      </c>
      <c r="B1663" t="str">
        <f>"46.0402"</f>
        <v>46.0402</v>
      </c>
      <c r="C1663" t="s">
        <v>8</v>
      </c>
      <c r="D1663" t="s">
        <v>12</v>
      </c>
      <c r="E1663" t="s">
        <v>3688</v>
      </c>
      <c r="F1663" t="s">
        <v>3689</v>
      </c>
    </row>
    <row r="1664" spans="1:8" x14ac:dyDescent="0.55000000000000004">
      <c r="A1664" t="str">
        <f t="shared" si="59"/>
        <v>46</v>
      </c>
      <c r="B1664" t="str">
        <f>"46.0403"</f>
        <v>46.0403</v>
      </c>
      <c r="C1664" t="s">
        <v>8</v>
      </c>
      <c r="D1664" t="s">
        <v>12</v>
      </c>
      <c r="E1664" t="s">
        <v>3690</v>
      </c>
      <c r="F1664" t="s">
        <v>3691</v>
      </c>
    </row>
    <row r="1665" spans="1:8" x14ac:dyDescent="0.55000000000000004">
      <c r="A1665" t="str">
        <f t="shared" si="59"/>
        <v>46</v>
      </c>
      <c r="B1665" t="str">
        <f>"46.0404"</f>
        <v>46.0404</v>
      </c>
      <c r="C1665" t="s">
        <v>8</v>
      </c>
      <c r="D1665" t="s">
        <v>12</v>
      </c>
      <c r="E1665" t="s">
        <v>3692</v>
      </c>
      <c r="F1665" t="s">
        <v>3693</v>
      </c>
      <c r="H1665" t="s">
        <v>3694</v>
      </c>
    </row>
    <row r="1666" spans="1:8" x14ac:dyDescent="0.55000000000000004">
      <c r="A1666" t="str">
        <f t="shared" si="59"/>
        <v>46</v>
      </c>
      <c r="B1666" t="str">
        <f>"46.0406"</f>
        <v>46.0406</v>
      </c>
      <c r="C1666" t="s">
        <v>8</v>
      </c>
      <c r="D1666" t="s">
        <v>12</v>
      </c>
      <c r="E1666" t="s">
        <v>3695</v>
      </c>
      <c r="F1666" t="s">
        <v>3696</v>
      </c>
      <c r="H1666" t="s">
        <v>3697</v>
      </c>
    </row>
    <row r="1667" spans="1:8" x14ac:dyDescent="0.55000000000000004">
      <c r="A1667" t="str">
        <f t="shared" si="59"/>
        <v>46</v>
      </c>
      <c r="B1667" t="str">
        <f>"46.0408"</f>
        <v>46.0408</v>
      </c>
      <c r="C1667" t="s">
        <v>8</v>
      </c>
      <c r="D1667" t="s">
        <v>12</v>
      </c>
      <c r="E1667" t="s">
        <v>3698</v>
      </c>
      <c r="F1667" t="s">
        <v>3699</v>
      </c>
      <c r="H1667" t="s">
        <v>3700</v>
      </c>
    </row>
    <row r="1668" spans="1:8" x14ac:dyDescent="0.55000000000000004">
      <c r="A1668" t="str">
        <f t="shared" si="59"/>
        <v>46</v>
      </c>
      <c r="B1668" t="str">
        <f>"46.0410"</f>
        <v>46.0410</v>
      </c>
      <c r="C1668" t="s">
        <v>8</v>
      </c>
      <c r="D1668" t="s">
        <v>12</v>
      </c>
      <c r="E1668" t="s">
        <v>3701</v>
      </c>
      <c r="F1668" t="s">
        <v>3702</v>
      </c>
    </row>
    <row r="1669" spans="1:8" x14ac:dyDescent="0.55000000000000004">
      <c r="A1669" t="str">
        <f t="shared" si="59"/>
        <v>46</v>
      </c>
      <c r="B1669" t="str">
        <f>"46.0411"</f>
        <v>46.0411</v>
      </c>
      <c r="C1669" t="s">
        <v>8</v>
      </c>
      <c r="D1669" t="s">
        <v>12</v>
      </c>
      <c r="E1669" t="s">
        <v>3703</v>
      </c>
      <c r="F1669" t="s">
        <v>3704</v>
      </c>
    </row>
    <row r="1670" spans="1:8" x14ac:dyDescent="0.55000000000000004">
      <c r="A1670" t="str">
        <f t="shared" si="59"/>
        <v>46</v>
      </c>
      <c r="B1670" t="str">
        <f>"46.0412"</f>
        <v>46.0412</v>
      </c>
      <c r="C1670" t="s">
        <v>8</v>
      </c>
      <c r="D1670" t="s">
        <v>12</v>
      </c>
      <c r="E1670" t="s">
        <v>3705</v>
      </c>
      <c r="F1670" t="s">
        <v>3706</v>
      </c>
      <c r="G1670" t="s">
        <v>3707</v>
      </c>
    </row>
    <row r="1671" spans="1:8" x14ac:dyDescent="0.55000000000000004">
      <c r="A1671" t="str">
        <f t="shared" si="59"/>
        <v>46</v>
      </c>
      <c r="B1671" t="str">
        <f>"46.0413"</f>
        <v>46.0413</v>
      </c>
      <c r="C1671" t="s">
        <v>8</v>
      </c>
      <c r="D1671" t="s">
        <v>12</v>
      </c>
      <c r="E1671" t="s">
        <v>3708</v>
      </c>
      <c r="F1671" t="s">
        <v>3709</v>
      </c>
      <c r="H1671" t="s">
        <v>3710</v>
      </c>
    </row>
    <row r="1672" spans="1:8" x14ac:dyDescent="0.55000000000000004">
      <c r="A1672" t="str">
        <f t="shared" si="59"/>
        <v>46</v>
      </c>
      <c r="B1672" t="str">
        <f>"46.0414"</f>
        <v>46.0414</v>
      </c>
      <c r="C1672" t="s">
        <v>8</v>
      </c>
      <c r="D1672" t="s">
        <v>12</v>
      </c>
      <c r="E1672" t="s">
        <v>3711</v>
      </c>
      <c r="F1672" t="s">
        <v>3712</v>
      </c>
      <c r="H1672" t="s">
        <v>3713</v>
      </c>
    </row>
    <row r="1673" spans="1:8" x14ac:dyDescent="0.55000000000000004">
      <c r="A1673" t="str">
        <f t="shared" si="59"/>
        <v>46</v>
      </c>
      <c r="B1673" t="str">
        <f>"46.0415"</f>
        <v>46.0415</v>
      </c>
      <c r="C1673" t="s">
        <v>8</v>
      </c>
      <c r="D1673" t="s">
        <v>9</v>
      </c>
      <c r="E1673" t="s">
        <v>3714</v>
      </c>
      <c r="F1673" t="s">
        <v>3715</v>
      </c>
      <c r="H1673" t="s">
        <v>3716</v>
      </c>
    </row>
    <row r="1674" spans="1:8" x14ac:dyDescent="0.55000000000000004">
      <c r="A1674" t="str">
        <f t="shared" si="59"/>
        <v>46</v>
      </c>
      <c r="B1674" t="str">
        <f>"46.0499"</f>
        <v>46.0499</v>
      </c>
      <c r="C1674" t="s">
        <v>8</v>
      </c>
      <c r="D1674" t="s">
        <v>12</v>
      </c>
      <c r="E1674" t="s">
        <v>3717</v>
      </c>
      <c r="F1674" t="s">
        <v>3718</v>
      </c>
    </row>
    <row r="1675" spans="1:8" x14ac:dyDescent="0.55000000000000004">
      <c r="A1675" t="str">
        <f t="shared" si="59"/>
        <v>46</v>
      </c>
      <c r="B1675" t="str">
        <f>"46.05"</f>
        <v>46.05</v>
      </c>
      <c r="C1675" t="s">
        <v>8</v>
      </c>
      <c r="D1675" t="s">
        <v>12</v>
      </c>
      <c r="E1675" t="s">
        <v>3719</v>
      </c>
      <c r="F1675" t="s">
        <v>3720</v>
      </c>
    </row>
    <row r="1676" spans="1:8" x14ac:dyDescent="0.55000000000000004">
      <c r="A1676" t="str">
        <f t="shared" si="59"/>
        <v>46</v>
      </c>
      <c r="B1676" t="str">
        <f>"46.0502"</f>
        <v>46.0502</v>
      </c>
      <c r="C1676" t="s">
        <v>8</v>
      </c>
      <c r="D1676" t="s">
        <v>12</v>
      </c>
      <c r="E1676" t="s">
        <v>3721</v>
      </c>
      <c r="F1676" t="s">
        <v>3722</v>
      </c>
      <c r="H1676" t="s">
        <v>3723</v>
      </c>
    </row>
    <row r="1677" spans="1:8" x14ac:dyDescent="0.55000000000000004">
      <c r="A1677" t="str">
        <f t="shared" si="59"/>
        <v>46</v>
      </c>
      <c r="B1677" t="str">
        <f>"46.0503"</f>
        <v>46.0503</v>
      </c>
      <c r="C1677" t="s">
        <v>8</v>
      </c>
      <c r="D1677" t="s">
        <v>12</v>
      </c>
      <c r="E1677" t="s">
        <v>3724</v>
      </c>
      <c r="F1677" t="s">
        <v>3725</v>
      </c>
      <c r="H1677" t="s">
        <v>3726</v>
      </c>
    </row>
    <row r="1678" spans="1:8" x14ac:dyDescent="0.55000000000000004">
      <c r="A1678" t="str">
        <f t="shared" si="59"/>
        <v>46</v>
      </c>
      <c r="B1678" t="str">
        <f>"46.0504"</f>
        <v>46.0504</v>
      </c>
      <c r="C1678" t="s">
        <v>8</v>
      </c>
      <c r="D1678" t="s">
        <v>12</v>
      </c>
      <c r="E1678" t="s">
        <v>3727</v>
      </c>
      <c r="F1678" t="s">
        <v>3728</v>
      </c>
      <c r="H1678" t="s">
        <v>3729</v>
      </c>
    </row>
    <row r="1679" spans="1:8" x14ac:dyDescent="0.55000000000000004">
      <c r="A1679" t="str">
        <f t="shared" si="59"/>
        <v>46</v>
      </c>
      <c r="B1679" t="str">
        <f>"46.0505"</f>
        <v>46.0505</v>
      </c>
      <c r="C1679" t="s">
        <v>8</v>
      </c>
      <c r="D1679" t="s">
        <v>12</v>
      </c>
      <c r="E1679" t="s">
        <v>3730</v>
      </c>
      <c r="F1679" t="s">
        <v>3731</v>
      </c>
    </row>
    <row r="1680" spans="1:8" x14ac:dyDescent="0.55000000000000004">
      <c r="A1680" t="str">
        <f t="shared" si="59"/>
        <v>46</v>
      </c>
      <c r="B1680" t="str">
        <f>"46.0599"</f>
        <v>46.0599</v>
      </c>
      <c r="C1680" t="s">
        <v>8</v>
      </c>
      <c r="D1680" t="s">
        <v>12</v>
      </c>
      <c r="E1680" t="s">
        <v>3732</v>
      </c>
      <c r="F1680" t="s">
        <v>3733</v>
      </c>
    </row>
    <row r="1681" spans="1:8" x14ac:dyDescent="0.55000000000000004">
      <c r="A1681" t="str">
        <f t="shared" si="59"/>
        <v>46</v>
      </c>
      <c r="B1681" t="str">
        <f>"46.99"</f>
        <v>46.99</v>
      </c>
      <c r="C1681" t="s">
        <v>8</v>
      </c>
      <c r="D1681" t="s">
        <v>12</v>
      </c>
      <c r="E1681" t="s">
        <v>3734</v>
      </c>
      <c r="F1681" t="s">
        <v>3735</v>
      </c>
    </row>
    <row r="1682" spans="1:8" x14ac:dyDescent="0.55000000000000004">
      <c r="A1682" t="str">
        <f t="shared" si="59"/>
        <v>46</v>
      </c>
      <c r="B1682" t="str">
        <f>"46.9999"</f>
        <v>46.9999</v>
      </c>
      <c r="C1682" t="s">
        <v>8</v>
      </c>
      <c r="D1682" t="s">
        <v>12</v>
      </c>
      <c r="E1682" t="s">
        <v>3734</v>
      </c>
      <c r="F1682" t="s">
        <v>3736</v>
      </c>
      <c r="H1682" t="s">
        <v>3737</v>
      </c>
    </row>
    <row r="1683" spans="1:8" x14ac:dyDescent="0.55000000000000004">
      <c r="A1683" t="str">
        <f>"47"</f>
        <v>47</v>
      </c>
      <c r="B1683" t="str">
        <f>"47"</f>
        <v>47</v>
      </c>
      <c r="C1683" t="s">
        <v>8</v>
      </c>
      <c r="D1683" t="s">
        <v>12</v>
      </c>
      <c r="E1683" t="s">
        <v>3738</v>
      </c>
      <c r="F1683" t="s">
        <v>3739</v>
      </c>
    </row>
    <row r="1684" spans="1:8" x14ac:dyDescent="0.55000000000000004">
      <c r="A1684" t="str">
        <f t="shared" ref="A1684:A1715" si="60">"47"</f>
        <v>47</v>
      </c>
      <c r="B1684" t="str">
        <f>"47.00"</f>
        <v>47.00</v>
      </c>
      <c r="C1684" t="s">
        <v>8</v>
      </c>
      <c r="D1684" t="s">
        <v>12</v>
      </c>
      <c r="E1684" t="s">
        <v>3740</v>
      </c>
      <c r="F1684" t="s">
        <v>3741</v>
      </c>
    </row>
    <row r="1685" spans="1:8" x14ac:dyDescent="0.55000000000000004">
      <c r="A1685" t="str">
        <f t="shared" si="60"/>
        <v>47</v>
      </c>
      <c r="B1685" t="str">
        <f>"47.0000"</f>
        <v>47.0000</v>
      </c>
      <c r="C1685" t="s">
        <v>8</v>
      </c>
      <c r="D1685" t="s">
        <v>12</v>
      </c>
      <c r="E1685" t="s">
        <v>3740</v>
      </c>
      <c r="F1685" t="s">
        <v>3742</v>
      </c>
    </row>
    <row r="1686" spans="1:8" x14ac:dyDescent="0.55000000000000004">
      <c r="A1686" t="str">
        <f t="shared" si="60"/>
        <v>47</v>
      </c>
      <c r="B1686" t="str">
        <f>"47.01"</f>
        <v>47.01</v>
      </c>
      <c r="C1686" t="s">
        <v>8</v>
      </c>
      <c r="D1686" t="s">
        <v>9</v>
      </c>
      <c r="E1686" t="s">
        <v>3743</v>
      </c>
      <c r="F1686" t="s">
        <v>3744</v>
      </c>
    </row>
    <row r="1687" spans="1:8" x14ac:dyDescent="0.55000000000000004">
      <c r="A1687" t="str">
        <f t="shared" si="60"/>
        <v>47</v>
      </c>
      <c r="B1687" t="str">
        <f>"47.0101"</f>
        <v>47.0101</v>
      </c>
      <c r="C1687" t="s">
        <v>8</v>
      </c>
      <c r="D1687" t="s">
        <v>9</v>
      </c>
      <c r="E1687" t="s">
        <v>3745</v>
      </c>
      <c r="F1687" t="s">
        <v>3746</v>
      </c>
      <c r="H1687" t="s">
        <v>3747</v>
      </c>
    </row>
    <row r="1688" spans="1:8" x14ac:dyDescent="0.55000000000000004">
      <c r="A1688" t="str">
        <f t="shared" si="60"/>
        <v>47</v>
      </c>
      <c r="B1688" t="str">
        <f>"47.0102"</f>
        <v>47.0102</v>
      </c>
      <c r="C1688" t="s">
        <v>8</v>
      </c>
      <c r="D1688" t="s">
        <v>12</v>
      </c>
      <c r="E1688" t="s">
        <v>3748</v>
      </c>
      <c r="F1688" t="s">
        <v>3749</v>
      </c>
    </row>
    <row r="1689" spans="1:8" x14ac:dyDescent="0.55000000000000004">
      <c r="A1689" t="str">
        <f t="shared" si="60"/>
        <v>47</v>
      </c>
      <c r="B1689" t="str">
        <f>"47.0103"</f>
        <v>47.0103</v>
      </c>
      <c r="C1689" t="s">
        <v>8</v>
      </c>
      <c r="D1689" t="s">
        <v>9</v>
      </c>
      <c r="E1689" t="s">
        <v>3750</v>
      </c>
      <c r="F1689" t="s">
        <v>3751</v>
      </c>
    </row>
    <row r="1690" spans="1:8" x14ac:dyDescent="0.55000000000000004">
      <c r="A1690" t="str">
        <f t="shared" si="60"/>
        <v>47</v>
      </c>
      <c r="B1690" t="str">
        <f>"47.0104"</f>
        <v>47.0104</v>
      </c>
      <c r="C1690" t="s">
        <v>8</v>
      </c>
      <c r="D1690" t="s">
        <v>12</v>
      </c>
      <c r="E1690" t="s">
        <v>3752</v>
      </c>
      <c r="F1690" t="s">
        <v>3753</v>
      </c>
      <c r="G1690" t="s">
        <v>3754</v>
      </c>
    </row>
    <row r="1691" spans="1:8" x14ac:dyDescent="0.55000000000000004">
      <c r="A1691" t="str">
        <f t="shared" si="60"/>
        <v>47</v>
      </c>
      <c r="B1691" t="str">
        <f>"47.0105"</f>
        <v>47.0105</v>
      </c>
      <c r="C1691" t="s">
        <v>8</v>
      </c>
      <c r="D1691" t="s">
        <v>12</v>
      </c>
      <c r="E1691" t="s">
        <v>3755</v>
      </c>
      <c r="F1691" t="s">
        <v>3756</v>
      </c>
    </row>
    <row r="1692" spans="1:8" x14ac:dyDescent="0.55000000000000004">
      <c r="A1692" t="str">
        <f t="shared" si="60"/>
        <v>47</v>
      </c>
      <c r="B1692" t="str">
        <f>"47.0106"</f>
        <v>47.0106</v>
      </c>
      <c r="C1692" t="s">
        <v>8</v>
      </c>
      <c r="D1692" t="s">
        <v>12</v>
      </c>
      <c r="E1692" t="s">
        <v>3757</v>
      </c>
      <c r="F1692" t="s">
        <v>3758</v>
      </c>
      <c r="H1692" t="s">
        <v>3759</v>
      </c>
    </row>
    <row r="1693" spans="1:8" x14ac:dyDescent="0.55000000000000004">
      <c r="A1693" t="str">
        <f t="shared" si="60"/>
        <v>47</v>
      </c>
      <c r="B1693" t="str">
        <f>"47.0110"</f>
        <v>47.0110</v>
      </c>
      <c r="C1693" t="s">
        <v>8</v>
      </c>
      <c r="D1693" t="s">
        <v>12</v>
      </c>
      <c r="E1693" t="s">
        <v>3760</v>
      </c>
      <c r="F1693" t="s">
        <v>3761</v>
      </c>
    </row>
    <row r="1694" spans="1:8" x14ac:dyDescent="0.55000000000000004">
      <c r="A1694" t="str">
        <f t="shared" si="60"/>
        <v>47</v>
      </c>
      <c r="B1694" t="str">
        <f>"47.0199"</f>
        <v>47.0199</v>
      </c>
      <c r="C1694" t="s">
        <v>8</v>
      </c>
      <c r="D1694" t="s">
        <v>9</v>
      </c>
      <c r="E1694" t="s">
        <v>3762</v>
      </c>
      <c r="F1694" t="s">
        <v>3763</v>
      </c>
    </row>
    <row r="1695" spans="1:8" x14ac:dyDescent="0.55000000000000004">
      <c r="A1695" t="str">
        <f t="shared" si="60"/>
        <v>47</v>
      </c>
      <c r="B1695" t="str">
        <f>"47.02"</f>
        <v>47.02</v>
      </c>
      <c r="C1695" t="s">
        <v>8</v>
      </c>
      <c r="D1695" t="s">
        <v>12</v>
      </c>
      <c r="E1695" t="s">
        <v>3764</v>
      </c>
      <c r="F1695" t="s">
        <v>3765</v>
      </c>
    </row>
    <row r="1696" spans="1:8" x14ac:dyDescent="0.55000000000000004">
      <c r="A1696" t="str">
        <f t="shared" si="60"/>
        <v>47</v>
      </c>
      <c r="B1696" t="str">
        <f>"47.0201"</f>
        <v>47.0201</v>
      </c>
      <c r="C1696" t="s">
        <v>8</v>
      </c>
      <c r="D1696" t="s">
        <v>12</v>
      </c>
      <c r="E1696" t="s">
        <v>3766</v>
      </c>
      <c r="F1696" t="s">
        <v>3767</v>
      </c>
      <c r="G1696" t="s">
        <v>3768</v>
      </c>
      <c r="H1696" t="s">
        <v>3769</v>
      </c>
    </row>
    <row r="1697" spans="1:8" x14ac:dyDescent="0.55000000000000004">
      <c r="A1697" t="str">
        <f t="shared" si="60"/>
        <v>47</v>
      </c>
      <c r="B1697" t="str">
        <f>"47.03"</f>
        <v>47.03</v>
      </c>
      <c r="C1697" t="s">
        <v>8</v>
      </c>
      <c r="D1697" t="s">
        <v>9</v>
      </c>
      <c r="E1697" t="s">
        <v>3770</v>
      </c>
      <c r="F1697" t="s">
        <v>3771</v>
      </c>
    </row>
    <row r="1698" spans="1:8" x14ac:dyDescent="0.55000000000000004">
      <c r="A1698" t="str">
        <f t="shared" si="60"/>
        <v>47</v>
      </c>
      <c r="B1698" t="str">
        <f>"47.0302"</f>
        <v>47.0302</v>
      </c>
      <c r="C1698" t="s">
        <v>8</v>
      </c>
      <c r="D1698" t="s">
        <v>12</v>
      </c>
      <c r="E1698" t="s">
        <v>3772</v>
      </c>
      <c r="F1698" t="s">
        <v>3773</v>
      </c>
      <c r="H1698" t="s">
        <v>3774</v>
      </c>
    </row>
    <row r="1699" spans="1:8" x14ac:dyDescent="0.55000000000000004">
      <c r="A1699" t="str">
        <f t="shared" si="60"/>
        <v>47</v>
      </c>
      <c r="B1699" t="str">
        <f>"47.0303"</f>
        <v>47.0303</v>
      </c>
      <c r="C1699" t="s">
        <v>8</v>
      </c>
      <c r="D1699" t="s">
        <v>9</v>
      </c>
      <c r="E1699" t="s">
        <v>3775</v>
      </c>
      <c r="F1699" t="s">
        <v>3776</v>
      </c>
      <c r="H1699" t="s">
        <v>3777</v>
      </c>
    </row>
    <row r="1700" spans="1:8" x14ac:dyDescent="0.55000000000000004">
      <c r="A1700" t="str">
        <f t="shared" si="60"/>
        <v>47</v>
      </c>
      <c r="B1700" t="str">
        <f>"47.0399"</f>
        <v>47.0399</v>
      </c>
      <c r="C1700" t="s">
        <v>8</v>
      </c>
      <c r="D1700" t="s">
        <v>9</v>
      </c>
      <c r="E1700" t="s">
        <v>3778</v>
      </c>
      <c r="F1700" t="s">
        <v>3779</v>
      </c>
    </row>
    <row r="1701" spans="1:8" x14ac:dyDescent="0.55000000000000004">
      <c r="A1701" t="str">
        <f t="shared" si="60"/>
        <v>47</v>
      </c>
      <c r="B1701" t="str">
        <f>"47.04"</f>
        <v>47.04</v>
      </c>
      <c r="C1701" t="s">
        <v>8</v>
      </c>
      <c r="D1701" t="s">
        <v>9</v>
      </c>
      <c r="E1701" t="s">
        <v>3780</v>
      </c>
      <c r="F1701" t="s">
        <v>3781</v>
      </c>
    </row>
    <row r="1702" spans="1:8" x14ac:dyDescent="0.55000000000000004">
      <c r="A1702" t="str">
        <f t="shared" si="60"/>
        <v>47</v>
      </c>
      <c r="B1702" t="str">
        <f>"47.0402"</f>
        <v>47.0402</v>
      </c>
      <c r="C1702" t="s">
        <v>8</v>
      </c>
      <c r="D1702" t="s">
        <v>12</v>
      </c>
      <c r="E1702" t="s">
        <v>3782</v>
      </c>
      <c r="F1702" t="s">
        <v>3783</v>
      </c>
    </row>
    <row r="1703" spans="1:8" x14ac:dyDescent="0.55000000000000004">
      <c r="A1703" t="str">
        <f t="shared" si="60"/>
        <v>47</v>
      </c>
      <c r="B1703" t="str">
        <f>"47.0403"</f>
        <v>47.0403</v>
      </c>
      <c r="C1703" t="s">
        <v>8</v>
      </c>
      <c r="D1703" t="s">
        <v>12</v>
      </c>
      <c r="E1703" t="s">
        <v>3784</v>
      </c>
      <c r="F1703" t="s">
        <v>3785</v>
      </c>
    </row>
    <row r="1704" spans="1:8" x14ac:dyDescent="0.55000000000000004">
      <c r="A1704" t="str">
        <f t="shared" si="60"/>
        <v>47</v>
      </c>
      <c r="B1704" t="str">
        <f>"47.0404"</f>
        <v>47.0404</v>
      </c>
      <c r="C1704" t="s">
        <v>8</v>
      </c>
      <c r="D1704" t="s">
        <v>12</v>
      </c>
      <c r="E1704" t="s">
        <v>3786</v>
      </c>
      <c r="F1704" t="s">
        <v>3787</v>
      </c>
    </row>
    <row r="1705" spans="1:8" x14ac:dyDescent="0.55000000000000004">
      <c r="A1705" t="str">
        <f t="shared" si="60"/>
        <v>47</v>
      </c>
      <c r="B1705" t="str">
        <f>"47.0408"</f>
        <v>47.0408</v>
      </c>
      <c r="C1705" t="s">
        <v>8</v>
      </c>
      <c r="D1705" t="s">
        <v>12</v>
      </c>
      <c r="E1705" t="s">
        <v>3788</v>
      </c>
      <c r="F1705" t="s">
        <v>3789</v>
      </c>
    </row>
    <row r="1706" spans="1:8" x14ac:dyDescent="0.55000000000000004">
      <c r="A1706" t="str">
        <f t="shared" si="60"/>
        <v>47</v>
      </c>
      <c r="B1706" t="str">
        <f>"47.0409"</f>
        <v>47.0409</v>
      </c>
      <c r="C1706" t="s">
        <v>8</v>
      </c>
      <c r="D1706" t="s">
        <v>12</v>
      </c>
      <c r="E1706" t="s">
        <v>3790</v>
      </c>
      <c r="F1706" t="s">
        <v>3791</v>
      </c>
      <c r="H1706" t="s">
        <v>3792</v>
      </c>
    </row>
    <row r="1707" spans="1:8" x14ac:dyDescent="0.55000000000000004">
      <c r="A1707" t="str">
        <f t="shared" si="60"/>
        <v>47</v>
      </c>
      <c r="B1707" t="str">
        <f>"47.0499"</f>
        <v>47.0499</v>
      </c>
      <c r="C1707" t="s">
        <v>8</v>
      </c>
      <c r="D1707" t="s">
        <v>9</v>
      </c>
      <c r="E1707" t="s">
        <v>3793</v>
      </c>
      <c r="F1707" t="s">
        <v>3794</v>
      </c>
      <c r="H1707" t="s">
        <v>3795</v>
      </c>
    </row>
    <row r="1708" spans="1:8" x14ac:dyDescent="0.55000000000000004">
      <c r="A1708" t="str">
        <f t="shared" si="60"/>
        <v>47</v>
      </c>
      <c r="B1708" t="str">
        <f>"47.06"</f>
        <v>47.06</v>
      </c>
      <c r="C1708" t="s">
        <v>8</v>
      </c>
      <c r="D1708" t="s">
        <v>9</v>
      </c>
      <c r="E1708" t="s">
        <v>3796</v>
      </c>
      <c r="F1708" t="s">
        <v>3797</v>
      </c>
    </row>
    <row r="1709" spans="1:8" x14ac:dyDescent="0.55000000000000004">
      <c r="A1709" t="str">
        <f t="shared" si="60"/>
        <v>47</v>
      </c>
      <c r="B1709" t="str">
        <f>"47.0600"</f>
        <v>47.0600</v>
      </c>
      <c r="C1709" t="s">
        <v>8</v>
      </c>
      <c r="D1709" t="s">
        <v>9</v>
      </c>
      <c r="E1709" t="s">
        <v>3798</v>
      </c>
      <c r="F1709" t="s">
        <v>3799</v>
      </c>
    </row>
    <row r="1710" spans="1:8" x14ac:dyDescent="0.55000000000000004">
      <c r="A1710" t="str">
        <f t="shared" si="60"/>
        <v>47</v>
      </c>
      <c r="B1710" t="str">
        <f>"47.0603"</f>
        <v>47.0603</v>
      </c>
      <c r="C1710" t="s">
        <v>8</v>
      </c>
      <c r="D1710" t="s">
        <v>12</v>
      </c>
      <c r="E1710" t="s">
        <v>3800</v>
      </c>
      <c r="F1710" t="s">
        <v>3801</v>
      </c>
      <c r="H1710" t="s">
        <v>3802</v>
      </c>
    </row>
    <row r="1711" spans="1:8" x14ac:dyDescent="0.55000000000000004">
      <c r="A1711" t="str">
        <f t="shared" si="60"/>
        <v>47</v>
      </c>
      <c r="B1711" t="str">
        <f>"47.0604"</f>
        <v>47.0604</v>
      </c>
      <c r="C1711" t="s">
        <v>8</v>
      </c>
      <c r="D1711" t="s">
        <v>12</v>
      </c>
      <c r="E1711" t="s">
        <v>3803</v>
      </c>
      <c r="F1711" t="s">
        <v>3804</v>
      </c>
      <c r="G1711" t="s">
        <v>3805</v>
      </c>
      <c r="H1711" t="s">
        <v>3806</v>
      </c>
    </row>
    <row r="1712" spans="1:8" x14ac:dyDescent="0.55000000000000004">
      <c r="A1712" t="str">
        <f t="shared" si="60"/>
        <v>47</v>
      </c>
      <c r="B1712" t="str">
        <f>"47.0605"</f>
        <v>47.0605</v>
      </c>
      <c r="C1712" t="s">
        <v>8</v>
      </c>
      <c r="D1712" t="s">
        <v>12</v>
      </c>
      <c r="E1712" t="s">
        <v>3807</v>
      </c>
      <c r="F1712" t="s">
        <v>3808</v>
      </c>
    </row>
    <row r="1713" spans="1:8" x14ac:dyDescent="0.55000000000000004">
      <c r="A1713" t="str">
        <f t="shared" si="60"/>
        <v>47</v>
      </c>
      <c r="B1713" t="str">
        <f>"47.0606"</f>
        <v>47.0606</v>
      </c>
      <c r="C1713" t="s">
        <v>8</v>
      </c>
      <c r="D1713" t="s">
        <v>12</v>
      </c>
      <c r="E1713" t="s">
        <v>3809</v>
      </c>
      <c r="F1713" t="s">
        <v>3810</v>
      </c>
    </row>
    <row r="1714" spans="1:8" x14ac:dyDescent="0.55000000000000004">
      <c r="A1714" t="str">
        <f t="shared" si="60"/>
        <v>47</v>
      </c>
      <c r="B1714" t="str">
        <f>"47.0607"</f>
        <v>47.0607</v>
      </c>
      <c r="C1714" t="s">
        <v>8</v>
      </c>
      <c r="D1714" t="s">
        <v>12</v>
      </c>
      <c r="E1714" t="s">
        <v>3811</v>
      </c>
      <c r="F1714" t="s">
        <v>3812</v>
      </c>
    </row>
    <row r="1715" spans="1:8" x14ac:dyDescent="0.55000000000000004">
      <c r="A1715" t="str">
        <f t="shared" si="60"/>
        <v>47</v>
      </c>
      <c r="B1715" t="str">
        <f>"47.0608"</f>
        <v>47.0608</v>
      </c>
      <c r="C1715" t="s">
        <v>8</v>
      </c>
      <c r="D1715" t="s">
        <v>12</v>
      </c>
      <c r="E1715" t="s">
        <v>3813</v>
      </c>
      <c r="F1715" t="s">
        <v>3814</v>
      </c>
    </row>
    <row r="1716" spans="1:8" x14ac:dyDescent="0.55000000000000004">
      <c r="A1716" t="str">
        <f t="shared" ref="A1716:A1735" si="61">"47"</f>
        <v>47</v>
      </c>
      <c r="B1716" t="str">
        <f>"47.0609"</f>
        <v>47.0609</v>
      </c>
      <c r="C1716" t="s">
        <v>8</v>
      </c>
      <c r="D1716" t="s">
        <v>12</v>
      </c>
      <c r="E1716" t="s">
        <v>3815</v>
      </c>
      <c r="F1716" t="s">
        <v>3816</v>
      </c>
      <c r="G1716" t="s">
        <v>3817</v>
      </c>
    </row>
    <row r="1717" spans="1:8" x14ac:dyDescent="0.55000000000000004">
      <c r="A1717" t="str">
        <f t="shared" si="61"/>
        <v>47</v>
      </c>
      <c r="B1717" t="str">
        <f>"47.0610"</f>
        <v>47.0610</v>
      </c>
      <c r="C1717" t="s">
        <v>8</v>
      </c>
      <c r="D1717" t="s">
        <v>12</v>
      </c>
      <c r="E1717" t="s">
        <v>3818</v>
      </c>
      <c r="F1717" t="s">
        <v>3819</v>
      </c>
    </row>
    <row r="1718" spans="1:8" x14ac:dyDescent="0.55000000000000004">
      <c r="A1718" t="str">
        <f t="shared" si="61"/>
        <v>47</v>
      </c>
      <c r="B1718" t="str">
        <f>"47.0611"</f>
        <v>47.0611</v>
      </c>
      <c r="C1718" t="s">
        <v>8</v>
      </c>
      <c r="D1718" t="s">
        <v>12</v>
      </c>
      <c r="E1718" t="s">
        <v>3820</v>
      </c>
      <c r="F1718" t="s">
        <v>3821</v>
      </c>
      <c r="H1718" t="s">
        <v>3822</v>
      </c>
    </row>
    <row r="1719" spans="1:8" x14ac:dyDescent="0.55000000000000004">
      <c r="A1719" t="str">
        <f t="shared" si="61"/>
        <v>47</v>
      </c>
      <c r="B1719" t="str">
        <f>"47.0612"</f>
        <v>47.0612</v>
      </c>
      <c r="C1719" t="s">
        <v>8</v>
      </c>
      <c r="D1719" t="s">
        <v>12</v>
      </c>
      <c r="E1719" t="s">
        <v>3823</v>
      </c>
      <c r="F1719" t="s">
        <v>3824</v>
      </c>
    </row>
    <row r="1720" spans="1:8" x14ac:dyDescent="0.55000000000000004">
      <c r="A1720" t="str">
        <f t="shared" si="61"/>
        <v>47</v>
      </c>
      <c r="B1720" t="str">
        <f>"47.0613"</f>
        <v>47.0613</v>
      </c>
      <c r="C1720" t="s">
        <v>8</v>
      </c>
      <c r="D1720" t="s">
        <v>12</v>
      </c>
      <c r="E1720" t="s">
        <v>3825</v>
      </c>
      <c r="F1720" t="s">
        <v>3826</v>
      </c>
      <c r="H1720" t="s">
        <v>3827</v>
      </c>
    </row>
    <row r="1721" spans="1:8" x14ac:dyDescent="0.55000000000000004">
      <c r="A1721" t="str">
        <f t="shared" si="61"/>
        <v>47</v>
      </c>
      <c r="B1721" t="str">
        <f>"47.0614"</f>
        <v>47.0614</v>
      </c>
      <c r="C1721" t="s">
        <v>8</v>
      </c>
      <c r="D1721" t="s">
        <v>12</v>
      </c>
      <c r="E1721" t="s">
        <v>3828</v>
      </c>
      <c r="F1721" t="s">
        <v>3829</v>
      </c>
    </row>
    <row r="1722" spans="1:8" x14ac:dyDescent="0.55000000000000004">
      <c r="A1722" t="str">
        <f t="shared" si="61"/>
        <v>47</v>
      </c>
      <c r="B1722" t="str">
        <f>"47.0615"</f>
        <v>47.0615</v>
      </c>
      <c r="C1722" t="s">
        <v>8</v>
      </c>
      <c r="D1722" t="s">
        <v>12</v>
      </c>
      <c r="E1722" t="s">
        <v>3830</v>
      </c>
      <c r="F1722" t="s">
        <v>3831</v>
      </c>
    </row>
    <row r="1723" spans="1:8" x14ac:dyDescent="0.55000000000000004">
      <c r="A1723" t="str">
        <f t="shared" si="61"/>
        <v>47</v>
      </c>
      <c r="B1723" t="str">
        <f>"47.0616"</f>
        <v>47.0616</v>
      </c>
      <c r="C1723" t="s">
        <v>8</v>
      </c>
      <c r="D1723" t="s">
        <v>12</v>
      </c>
      <c r="E1723" t="s">
        <v>3832</v>
      </c>
      <c r="F1723" t="s">
        <v>3833</v>
      </c>
    </row>
    <row r="1724" spans="1:8" x14ac:dyDescent="0.55000000000000004">
      <c r="A1724" t="str">
        <f t="shared" si="61"/>
        <v>47</v>
      </c>
      <c r="B1724" t="str">
        <f>"47.0617"</f>
        <v>47.0617</v>
      </c>
      <c r="C1724" t="s">
        <v>8</v>
      </c>
      <c r="D1724" t="s">
        <v>12</v>
      </c>
      <c r="E1724" t="s">
        <v>3834</v>
      </c>
      <c r="F1724" t="s">
        <v>3835</v>
      </c>
      <c r="H1724" t="s">
        <v>3836</v>
      </c>
    </row>
    <row r="1725" spans="1:8" x14ac:dyDescent="0.55000000000000004">
      <c r="A1725" t="str">
        <f t="shared" si="61"/>
        <v>47</v>
      </c>
      <c r="B1725" t="str">
        <f>"47.0618"</f>
        <v>47.0618</v>
      </c>
      <c r="C1725" t="s">
        <v>8</v>
      </c>
      <c r="D1725" t="s">
        <v>12</v>
      </c>
      <c r="E1725" t="s">
        <v>3837</v>
      </c>
      <c r="F1725" t="s">
        <v>3838</v>
      </c>
      <c r="H1725" t="s">
        <v>3839</v>
      </c>
    </row>
    <row r="1726" spans="1:8" x14ac:dyDescent="0.55000000000000004">
      <c r="A1726" t="str">
        <f t="shared" si="61"/>
        <v>47</v>
      </c>
      <c r="B1726" t="str">
        <f>"47.0699"</f>
        <v>47.0699</v>
      </c>
      <c r="C1726" t="s">
        <v>8</v>
      </c>
      <c r="D1726" t="s">
        <v>9</v>
      </c>
      <c r="E1726" t="s">
        <v>3840</v>
      </c>
      <c r="F1726" t="s">
        <v>3841</v>
      </c>
    </row>
    <row r="1727" spans="1:8" x14ac:dyDescent="0.55000000000000004">
      <c r="A1727" t="str">
        <f t="shared" si="61"/>
        <v>47</v>
      </c>
      <c r="B1727" t="str">
        <f>"47.07"</f>
        <v>47.07</v>
      </c>
      <c r="C1727" t="s">
        <v>47</v>
      </c>
      <c r="D1727" t="s">
        <v>12</v>
      </c>
      <c r="E1727" t="s">
        <v>3842</v>
      </c>
      <c r="F1727" t="s">
        <v>3843</v>
      </c>
    </row>
    <row r="1728" spans="1:8" x14ac:dyDescent="0.55000000000000004">
      <c r="A1728" t="str">
        <f t="shared" si="61"/>
        <v>47</v>
      </c>
      <c r="B1728" t="str">
        <f>"47.0701"</f>
        <v>47.0701</v>
      </c>
      <c r="C1728" t="s">
        <v>47</v>
      </c>
      <c r="D1728" t="s">
        <v>12</v>
      </c>
      <c r="E1728" t="s">
        <v>3844</v>
      </c>
      <c r="F1728" t="s">
        <v>3845</v>
      </c>
      <c r="G1728" t="s">
        <v>3846</v>
      </c>
    </row>
    <row r="1729" spans="1:8" x14ac:dyDescent="0.55000000000000004">
      <c r="A1729" t="str">
        <f t="shared" si="61"/>
        <v>47</v>
      </c>
      <c r="B1729" t="str">
        <f>"47.0703"</f>
        <v>47.0703</v>
      </c>
      <c r="C1729" t="s">
        <v>47</v>
      </c>
      <c r="D1729" t="s">
        <v>12</v>
      </c>
      <c r="E1729" t="s">
        <v>3847</v>
      </c>
      <c r="F1729" t="s">
        <v>3848</v>
      </c>
      <c r="G1729" t="s">
        <v>3849</v>
      </c>
      <c r="H1729" t="s">
        <v>3850</v>
      </c>
    </row>
    <row r="1730" spans="1:8" x14ac:dyDescent="0.55000000000000004">
      <c r="A1730" t="str">
        <f t="shared" si="61"/>
        <v>47</v>
      </c>
      <c r="B1730" t="str">
        <f>"47.0704"</f>
        <v>47.0704</v>
      </c>
      <c r="C1730" t="s">
        <v>47</v>
      </c>
      <c r="D1730" t="s">
        <v>12</v>
      </c>
      <c r="E1730" t="s">
        <v>3851</v>
      </c>
      <c r="F1730" t="s">
        <v>3852</v>
      </c>
      <c r="G1730" t="s">
        <v>3853</v>
      </c>
    </row>
    <row r="1731" spans="1:8" x14ac:dyDescent="0.55000000000000004">
      <c r="A1731" t="str">
        <f t="shared" si="61"/>
        <v>47</v>
      </c>
      <c r="B1731" t="str">
        <f>"47.0705"</f>
        <v>47.0705</v>
      </c>
      <c r="C1731" t="s">
        <v>47</v>
      </c>
      <c r="D1731" t="s">
        <v>12</v>
      </c>
      <c r="E1731" t="s">
        <v>3854</v>
      </c>
      <c r="F1731" t="s">
        <v>3855</v>
      </c>
      <c r="G1731" t="s">
        <v>3856</v>
      </c>
    </row>
    <row r="1732" spans="1:8" x14ac:dyDescent="0.55000000000000004">
      <c r="A1732" t="str">
        <f t="shared" si="61"/>
        <v>47</v>
      </c>
      <c r="B1732" t="str">
        <f>"47.0706"</f>
        <v>47.0706</v>
      </c>
      <c r="C1732" t="s">
        <v>47</v>
      </c>
      <c r="D1732" t="s">
        <v>12</v>
      </c>
      <c r="E1732" t="s">
        <v>3857</v>
      </c>
      <c r="F1732" t="s">
        <v>3858</v>
      </c>
      <c r="G1732" t="s">
        <v>3859</v>
      </c>
    </row>
    <row r="1733" spans="1:8" x14ac:dyDescent="0.55000000000000004">
      <c r="A1733" t="str">
        <f t="shared" si="61"/>
        <v>47</v>
      </c>
      <c r="B1733" t="str">
        <f>"47.0799"</f>
        <v>47.0799</v>
      </c>
      <c r="C1733" t="s">
        <v>47</v>
      </c>
      <c r="D1733" t="s">
        <v>12</v>
      </c>
      <c r="E1733" t="s">
        <v>3860</v>
      </c>
      <c r="F1733" t="s">
        <v>3861</v>
      </c>
      <c r="G1733" t="s">
        <v>3862</v>
      </c>
    </row>
    <row r="1734" spans="1:8" x14ac:dyDescent="0.55000000000000004">
      <c r="A1734" t="str">
        <f t="shared" si="61"/>
        <v>47</v>
      </c>
      <c r="B1734" t="str">
        <f>"47.99"</f>
        <v>47.99</v>
      </c>
      <c r="C1734" t="s">
        <v>8</v>
      </c>
      <c r="D1734" t="s">
        <v>12</v>
      </c>
      <c r="E1734" t="s">
        <v>3863</v>
      </c>
      <c r="F1734" t="s">
        <v>3864</v>
      </c>
    </row>
    <row r="1735" spans="1:8" x14ac:dyDescent="0.55000000000000004">
      <c r="A1735" t="str">
        <f t="shared" si="61"/>
        <v>47</v>
      </c>
      <c r="B1735" t="str">
        <f>"47.9999"</f>
        <v>47.9999</v>
      </c>
      <c r="C1735" t="s">
        <v>8</v>
      </c>
      <c r="D1735" t="s">
        <v>12</v>
      </c>
      <c r="E1735" t="s">
        <v>3863</v>
      </c>
      <c r="F1735" t="s">
        <v>3865</v>
      </c>
    </row>
    <row r="1736" spans="1:8" x14ac:dyDescent="0.55000000000000004">
      <c r="A1736" t="str">
        <f>"48"</f>
        <v>48</v>
      </c>
      <c r="B1736" t="str">
        <f>"48"</f>
        <v>48</v>
      </c>
      <c r="C1736" t="s">
        <v>8</v>
      </c>
      <c r="D1736" t="s">
        <v>12</v>
      </c>
      <c r="E1736" t="s">
        <v>3866</v>
      </c>
      <c r="F1736" t="s">
        <v>3867</v>
      </c>
    </row>
    <row r="1737" spans="1:8" x14ac:dyDescent="0.55000000000000004">
      <c r="A1737" t="str">
        <f t="shared" ref="A1737:A1762" si="62">"48"</f>
        <v>48</v>
      </c>
      <c r="B1737" t="str">
        <f>"48.00"</f>
        <v>48.00</v>
      </c>
      <c r="C1737" t="s">
        <v>8</v>
      </c>
      <c r="D1737" t="s">
        <v>12</v>
      </c>
      <c r="E1737" t="s">
        <v>3868</v>
      </c>
      <c r="F1737" t="s">
        <v>3869</v>
      </c>
    </row>
    <row r="1738" spans="1:8" x14ac:dyDescent="0.55000000000000004">
      <c r="A1738" t="str">
        <f t="shared" si="62"/>
        <v>48</v>
      </c>
      <c r="B1738" t="str">
        <f>"48.0000"</f>
        <v>48.0000</v>
      </c>
      <c r="C1738" t="s">
        <v>8</v>
      </c>
      <c r="D1738" t="s">
        <v>12</v>
      </c>
      <c r="E1738" t="s">
        <v>3868</v>
      </c>
      <c r="F1738" t="s">
        <v>3870</v>
      </c>
    </row>
    <row r="1739" spans="1:8" x14ac:dyDescent="0.55000000000000004">
      <c r="A1739" t="str">
        <f t="shared" si="62"/>
        <v>48</v>
      </c>
      <c r="B1739" t="str">
        <f>"48.03"</f>
        <v>48.03</v>
      </c>
      <c r="C1739" t="s">
        <v>8</v>
      </c>
      <c r="D1739" t="s">
        <v>12</v>
      </c>
      <c r="E1739" t="s">
        <v>3871</v>
      </c>
      <c r="F1739" t="s">
        <v>3872</v>
      </c>
    </row>
    <row r="1740" spans="1:8" x14ac:dyDescent="0.55000000000000004">
      <c r="A1740" t="str">
        <f t="shared" si="62"/>
        <v>48</v>
      </c>
      <c r="B1740" t="str">
        <f>"48.0303"</f>
        <v>48.0303</v>
      </c>
      <c r="C1740" t="s">
        <v>8</v>
      </c>
      <c r="D1740" t="s">
        <v>12</v>
      </c>
      <c r="E1740" t="s">
        <v>3873</v>
      </c>
      <c r="F1740" t="s">
        <v>3874</v>
      </c>
    </row>
    <row r="1741" spans="1:8" x14ac:dyDescent="0.55000000000000004">
      <c r="A1741" t="str">
        <f t="shared" si="62"/>
        <v>48</v>
      </c>
      <c r="B1741" t="str">
        <f>"48.0304"</f>
        <v>48.0304</v>
      </c>
      <c r="C1741" t="s">
        <v>8</v>
      </c>
      <c r="D1741" t="s">
        <v>12</v>
      </c>
      <c r="E1741" t="s">
        <v>3875</v>
      </c>
      <c r="F1741" t="s">
        <v>3876</v>
      </c>
    </row>
    <row r="1742" spans="1:8" x14ac:dyDescent="0.55000000000000004">
      <c r="A1742" t="str">
        <f t="shared" si="62"/>
        <v>48</v>
      </c>
      <c r="B1742" t="str">
        <f>"48.0399"</f>
        <v>48.0399</v>
      </c>
      <c r="C1742" t="s">
        <v>8</v>
      </c>
      <c r="D1742" t="s">
        <v>12</v>
      </c>
      <c r="E1742" t="s">
        <v>3877</v>
      </c>
      <c r="F1742" t="s">
        <v>3878</v>
      </c>
    </row>
    <row r="1743" spans="1:8" x14ac:dyDescent="0.55000000000000004">
      <c r="A1743" t="str">
        <f t="shared" si="62"/>
        <v>48</v>
      </c>
      <c r="B1743" t="str">
        <f>"48.05"</f>
        <v>48.05</v>
      </c>
      <c r="C1743" t="s">
        <v>8</v>
      </c>
      <c r="D1743" t="s">
        <v>12</v>
      </c>
      <c r="E1743" t="s">
        <v>3879</v>
      </c>
      <c r="F1743" t="s">
        <v>3880</v>
      </c>
    </row>
    <row r="1744" spans="1:8" x14ac:dyDescent="0.55000000000000004">
      <c r="A1744" t="str">
        <f t="shared" si="62"/>
        <v>48</v>
      </c>
      <c r="B1744" t="str">
        <f>"48.0501"</f>
        <v>48.0501</v>
      </c>
      <c r="C1744" t="s">
        <v>8</v>
      </c>
      <c r="D1744" t="s">
        <v>12</v>
      </c>
      <c r="E1744" t="s">
        <v>3881</v>
      </c>
      <c r="F1744" t="s">
        <v>3882</v>
      </c>
      <c r="H1744" t="s">
        <v>3883</v>
      </c>
    </row>
    <row r="1745" spans="1:8" x14ac:dyDescent="0.55000000000000004">
      <c r="A1745" t="str">
        <f t="shared" si="62"/>
        <v>48</v>
      </c>
      <c r="B1745" t="str">
        <f>"48.0503"</f>
        <v>48.0503</v>
      </c>
      <c r="C1745" t="s">
        <v>8</v>
      </c>
      <c r="D1745" t="s">
        <v>12</v>
      </c>
      <c r="E1745" t="s">
        <v>3884</v>
      </c>
      <c r="F1745" t="s">
        <v>3885</v>
      </c>
    </row>
    <row r="1746" spans="1:8" x14ac:dyDescent="0.55000000000000004">
      <c r="A1746" t="str">
        <f t="shared" si="62"/>
        <v>48</v>
      </c>
      <c r="B1746" t="str">
        <f>"48.0506"</f>
        <v>48.0506</v>
      </c>
      <c r="C1746" t="s">
        <v>8</v>
      </c>
      <c r="D1746" t="s">
        <v>12</v>
      </c>
      <c r="E1746" t="s">
        <v>3886</v>
      </c>
      <c r="F1746" t="s">
        <v>3887</v>
      </c>
      <c r="H1746" t="s">
        <v>3888</v>
      </c>
    </row>
    <row r="1747" spans="1:8" x14ac:dyDescent="0.55000000000000004">
      <c r="A1747" t="str">
        <f t="shared" si="62"/>
        <v>48</v>
      </c>
      <c r="B1747" t="str">
        <f>"48.0507"</f>
        <v>48.0507</v>
      </c>
      <c r="C1747" t="s">
        <v>8</v>
      </c>
      <c r="D1747" t="s">
        <v>12</v>
      </c>
      <c r="E1747" t="s">
        <v>3889</v>
      </c>
      <c r="F1747" t="s">
        <v>3890</v>
      </c>
      <c r="H1747" t="s">
        <v>3891</v>
      </c>
    </row>
    <row r="1748" spans="1:8" x14ac:dyDescent="0.55000000000000004">
      <c r="A1748" t="str">
        <f t="shared" si="62"/>
        <v>48</v>
      </c>
      <c r="B1748" t="str">
        <f>"48.0508"</f>
        <v>48.0508</v>
      </c>
      <c r="C1748" t="s">
        <v>8</v>
      </c>
      <c r="D1748" t="s">
        <v>12</v>
      </c>
      <c r="E1748" t="s">
        <v>3892</v>
      </c>
      <c r="F1748" t="s">
        <v>3893</v>
      </c>
      <c r="G1748" t="s">
        <v>3894</v>
      </c>
      <c r="H1748" t="s">
        <v>3895</v>
      </c>
    </row>
    <row r="1749" spans="1:8" x14ac:dyDescent="0.55000000000000004">
      <c r="A1749" t="str">
        <f t="shared" si="62"/>
        <v>48</v>
      </c>
      <c r="B1749" t="str">
        <f>"48.0509"</f>
        <v>48.0509</v>
      </c>
      <c r="C1749" t="s">
        <v>8</v>
      </c>
      <c r="D1749" t="s">
        <v>12</v>
      </c>
      <c r="E1749" t="s">
        <v>3896</v>
      </c>
      <c r="F1749" t="s">
        <v>3897</v>
      </c>
      <c r="H1749" t="s">
        <v>3898</v>
      </c>
    </row>
    <row r="1750" spans="1:8" x14ac:dyDescent="0.55000000000000004">
      <c r="A1750" t="str">
        <f t="shared" si="62"/>
        <v>48</v>
      </c>
      <c r="B1750" t="str">
        <f>"48.0510"</f>
        <v>48.0510</v>
      </c>
      <c r="C1750" t="s">
        <v>8</v>
      </c>
      <c r="D1750" t="s">
        <v>12</v>
      </c>
      <c r="E1750" t="s">
        <v>3899</v>
      </c>
      <c r="F1750" t="s">
        <v>3900</v>
      </c>
    </row>
    <row r="1751" spans="1:8" x14ac:dyDescent="0.55000000000000004">
      <c r="A1751" t="str">
        <f t="shared" si="62"/>
        <v>48</v>
      </c>
      <c r="B1751" t="str">
        <f>"48.0511"</f>
        <v>48.0511</v>
      </c>
      <c r="C1751" t="s">
        <v>8</v>
      </c>
      <c r="D1751" t="s">
        <v>12</v>
      </c>
      <c r="E1751" t="s">
        <v>3901</v>
      </c>
      <c r="F1751" t="s">
        <v>3902</v>
      </c>
      <c r="H1751" t="s">
        <v>3903</v>
      </c>
    </row>
    <row r="1752" spans="1:8" x14ac:dyDescent="0.55000000000000004">
      <c r="A1752" t="str">
        <f t="shared" si="62"/>
        <v>48</v>
      </c>
      <c r="B1752" t="str">
        <f>"48.0599"</f>
        <v>48.0599</v>
      </c>
      <c r="C1752" t="s">
        <v>8</v>
      </c>
      <c r="D1752" t="s">
        <v>12</v>
      </c>
      <c r="E1752" t="s">
        <v>3904</v>
      </c>
      <c r="F1752" t="s">
        <v>3905</v>
      </c>
    </row>
    <row r="1753" spans="1:8" x14ac:dyDescent="0.55000000000000004">
      <c r="A1753" t="str">
        <f t="shared" si="62"/>
        <v>48</v>
      </c>
      <c r="B1753" t="str">
        <f>"48.07"</f>
        <v>48.07</v>
      </c>
      <c r="C1753" t="s">
        <v>8</v>
      </c>
      <c r="D1753" t="s">
        <v>12</v>
      </c>
      <c r="E1753" t="s">
        <v>3906</v>
      </c>
      <c r="F1753" t="s">
        <v>3907</v>
      </c>
    </row>
    <row r="1754" spans="1:8" x14ac:dyDescent="0.55000000000000004">
      <c r="A1754" t="str">
        <f t="shared" si="62"/>
        <v>48</v>
      </c>
      <c r="B1754" t="str">
        <f>"48.0701"</f>
        <v>48.0701</v>
      </c>
      <c r="C1754" t="s">
        <v>8</v>
      </c>
      <c r="D1754" t="s">
        <v>12</v>
      </c>
      <c r="E1754" t="s">
        <v>3908</v>
      </c>
      <c r="F1754" t="s">
        <v>3909</v>
      </c>
      <c r="G1754" t="s">
        <v>3910</v>
      </c>
    </row>
    <row r="1755" spans="1:8" x14ac:dyDescent="0.55000000000000004">
      <c r="A1755" t="str">
        <f t="shared" si="62"/>
        <v>48</v>
      </c>
      <c r="B1755" t="str">
        <f>"48.0702"</f>
        <v>48.0702</v>
      </c>
      <c r="C1755" t="s">
        <v>8</v>
      </c>
      <c r="D1755" t="s">
        <v>12</v>
      </c>
      <c r="E1755" t="s">
        <v>3911</v>
      </c>
      <c r="F1755" t="s">
        <v>3912</v>
      </c>
    </row>
    <row r="1756" spans="1:8" x14ac:dyDescent="0.55000000000000004">
      <c r="A1756" t="str">
        <f t="shared" si="62"/>
        <v>48</v>
      </c>
      <c r="B1756" t="str">
        <f>"48.0703"</f>
        <v>48.0703</v>
      </c>
      <c r="C1756" t="s">
        <v>8</v>
      </c>
      <c r="D1756" t="s">
        <v>12</v>
      </c>
      <c r="E1756" t="s">
        <v>3913</v>
      </c>
      <c r="F1756" t="s">
        <v>3914</v>
      </c>
      <c r="H1756" t="s">
        <v>3915</v>
      </c>
    </row>
    <row r="1757" spans="1:8" x14ac:dyDescent="0.55000000000000004">
      <c r="A1757" t="str">
        <f t="shared" si="62"/>
        <v>48</v>
      </c>
      <c r="B1757" t="str">
        <f>"48.0704"</f>
        <v>48.0704</v>
      </c>
      <c r="C1757" t="s">
        <v>47</v>
      </c>
      <c r="D1757" t="s">
        <v>12</v>
      </c>
      <c r="E1757" t="s">
        <v>3916</v>
      </c>
      <c r="F1757" t="s">
        <v>3917</v>
      </c>
      <c r="G1757" t="s">
        <v>3918</v>
      </c>
    </row>
    <row r="1758" spans="1:8" x14ac:dyDescent="0.55000000000000004">
      <c r="A1758" t="str">
        <f t="shared" si="62"/>
        <v>48</v>
      </c>
      <c r="B1758" t="str">
        <f>"48.0799"</f>
        <v>48.0799</v>
      </c>
      <c r="C1758" t="s">
        <v>8</v>
      </c>
      <c r="D1758" t="s">
        <v>12</v>
      </c>
      <c r="E1758" t="s">
        <v>3919</v>
      </c>
      <c r="F1758" t="s">
        <v>3920</v>
      </c>
    </row>
    <row r="1759" spans="1:8" x14ac:dyDescent="0.55000000000000004">
      <c r="A1759" t="str">
        <f t="shared" si="62"/>
        <v>48</v>
      </c>
      <c r="B1759" t="str">
        <f>"48.08"</f>
        <v>48.08</v>
      </c>
      <c r="C1759" t="s">
        <v>8</v>
      </c>
      <c r="D1759" t="s">
        <v>12</v>
      </c>
      <c r="E1759" t="s">
        <v>3921</v>
      </c>
      <c r="F1759" t="s">
        <v>3922</v>
      </c>
    </row>
    <row r="1760" spans="1:8" x14ac:dyDescent="0.55000000000000004">
      <c r="A1760" t="str">
        <f t="shared" si="62"/>
        <v>48</v>
      </c>
      <c r="B1760" t="str">
        <f>"48.0801"</f>
        <v>48.0801</v>
      </c>
      <c r="C1760" t="s">
        <v>8</v>
      </c>
      <c r="D1760" t="s">
        <v>12</v>
      </c>
      <c r="E1760" t="s">
        <v>3921</v>
      </c>
      <c r="F1760" t="s">
        <v>3923</v>
      </c>
      <c r="H1760" t="s">
        <v>3924</v>
      </c>
    </row>
    <row r="1761" spans="1:8" x14ac:dyDescent="0.55000000000000004">
      <c r="A1761" t="str">
        <f t="shared" si="62"/>
        <v>48</v>
      </c>
      <c r="B1761" t="str">
        <f>"48.99"</f>
        <v>48.99</v>
      </c>
      <c r="C1761" t="s">
        <v>8</v>
      </c>
      <c r="D1761" t="s">
        <v>12</v>
      </c>
      <c r="E1761" t="s">
        <v>3925</v>
      </c>
      <c r="F1761" t="s">
        <v>3926</v>
      </c>
    </row>
    <row r="1762" spans="1:8" x14ac:dyDescent="0.55000000000000004">
      <c r="A1762" t="str">
        <f t="shared" si="62"/>
        <v>48</v>
      </c>
      <c r="B1762" t="str">
        <f>"48.9999"</f>
        <v>48.9999</v>
      </c>
      <c r="C1762" t="s">
        <v>8</v>
      </c>
      <c r="D1762" t="s">
        <v>12</v>
      </c>
      <c r="E1762" t="s">
        <v>3925</v>
      </c>
      <c r="F1762" t="s">
        <v>3927</v>
      </c>
      <c r="H1762" t="s">
        <v>3928</v>
      </c>
    </row>
    <row r="1763" spans="1:8" x14ac:dyDescent="0.55000000000000004">
      <c r="A1763" t="str">
        <f>"49"</f>
        <v>49</v>
      </c>
      <c r="B1763" t="str">
        <f>"49"</f>
        <v>49</v>
      </c>
      <c r="C1763" t="s">
        <v>8</v>
      </c>
      <c r="D1763" t="s">
        <v>12</v>
      </c>
      <c r="E1763" t="s">
        <v>3929</v>
      </c>
      <c r="F1763" t="s">
        <v>3930</v>
      </c>
    </row>
    <row r="1764" spans="1:8" x14ac:dyDescent="0.55000000000000004">
      <c r="A1764" t="str">
        <f t="shared" ref="A1764:A1787" si="63">"49"</f>
        <v>49</v>
      </c>
      <c r="B1764" t="str">
        <f>"49.01"</f>
        <v>49.01</v>
      </c>
      <c r="C1764" t="s">
        <v>8</v>
      </c>
      <c r="D1764" t="s">
        <v>12</v>
      </c>
      <c r="E1764" t="s">
        <v>3931</v>
      </c>
      <c r="F1764" t="s">
        <v>3932</v>
      </c>
    </row>
    <row r="1765" spans="1:8" x14ac:dyDescent="0.55000000000000004">
      <c r="A1765" t="str">
        <f t="shared" si="63"/>
        <v>49</v>
      </c>
      <c r="B1765" t="str">
        <f>"49.0101"</f>
        <v>49.0101</v>
      </c>
      <c r="C1765" t="s">
        <v>8</v>
      </c>
      <c r="D1765" t="s">
        <v>12</v>
      </c>
      <c r="E1765" t="s">
        <v>3933</v>
      </c>
      <c r="F1765" t="s">
        <v>3934</v>
      </c>
    </row>
    <row r="1766" spans="1:8" x14ac:dyDescent="0.55000000000000004">
      <c r="A1766" t="str">
        <f t="shared" si="63"/>
        <v>49</v>
      </c>
      <c r="B1766" t="str">
        <f>"49.0102"</f>
        <v>49.0102</v>
      </c>
      <c r="C1766" t="s">
        <v>8</v>
      </c>
      <c r="D1766" t="s">
        <v>12</v>
      </c>
      <c r="E1766" t="s">
        <v>3935</v>
      </c>
      <c r="F1766" t="s">
        <v>3936</v>
      </c>
    </row>
    <row r="1767" spans="1:8" x14ac:dyDescent="0.55000000000000004">
      <c r="A1767" t="str">
        <f t="shared" si="63"/>
        <v>49</v>
      </c>
      <c r="B1767" t="str">
        <f>"49.0104"</f>
        <v>49.0104</v>
      </c>
      <c r="C1767" t="s">
        <v>8</v>
      </c>
      <c r="D1767" t="s">
        <v>12</v>
      </c>
      <c r="E1767" t="s">
        <v>3937</v>
      </c>
      <c r="F1767" t="s">
        <v>3938</v>
      </c>
    </row>
    <row r="1768" spans="1:8" x14ac:dyDescent="0.55000000000000004">
      <c r="A1768" t="str">
        <f t="shared" si="63"/>
        <v>49</v>
      </c>
      <c r="B1768" t="str">
        <f>"49.0105"</f>
        <v>49.0105</v>
      </c>
      <c r="C1768" t="s">
        <v>8</v>
      </c>
      <c r="D1768" t="s">
        <v>12</v>
      </c>
      <c r="E1768" t="s">
        <v>3939</v>
      </c>
      <c r="F1768" t="s">
        <v>3940</v>
      </c>
    </row>
    <row r="1769" spans="1:8" x14ac:dyDescent="0.55000000000000004">
      <c r="A1769" t="str">
        <f t="shared" si="63"/>
        <v>49</v>
      </c>
      <c r="B1769" t="str">
        <f>"49.0106"</f>
        <v>49.0106</v>
      </c>
      <c r="C1769" t="s">
        <v>8</v>
      </c>
      <c r="D1769" t="s">
        <v>12</v>
      </c>
      <c r="E1769" t="s">
        <v>3941</v>
      </c>
      <c r="F1769" t="s">
        <v>3942</v>
      </c>
    </row>
    <row r="1770" spans="1:8" x14ac:dyDescent="0.55000000000000004">
      <c r="A1770" t="str">
        <f t="shared" si="63"/>
        <v>49</v>
      </c>
      <c r="B1770" t="str">
        <f>"49.0108"</f>
        <v>49.0108</v>
      </c>
      <c r="C1770" t="s">
        <v>8</v>
      </c>
      <c r="D1770" t="s">
        <v>12</v>
      </c>
      <c r="E1770" t="s">
        <v>3943</v>
      </c>
      <c r="F1770" t="s">
        <v>3944</v>
      </c>
    </row>
    <row r="1771" spans="1:8" x14ac:dyDescent="0.55000000000000004">
      <c r="A1771" t="str">
        <f t="shared" si="63"/>
        <v>49</v>
      </c>
      <c r="B1771" t="str">
        <f>"49.0109"</f>
        <v>49.0109</v>
      </c>
      <c r="C1771" t="s">
        <v>47</v>
      </c>
      <c r="D1771" t="s">
        <v>12</v>
      </c>
      <c r="E1771" t="s">
        <v>3945</v>
      </c>
      <c r="F1771" t="s">
        <v>3946</v>
      </c>
      <c r="G1771" t="s">
        <v>3947</v>
      </c>
      <c r="H1771" t="s">
        <v>3948</v>
      </c>
    </row>
    <row r="1772" spans="1:8" x14ac:dyDescent="0.55000000000000004">
      <c r="A1772" t="str">
        <f t="shared" si="63"/>
        <v>49</v>
      </c>
      <c r="B1772" t="str">
        <f>"49.0199"</f>
        <v>49.0199</v>
      </c>
      <c r="C1772" t="s">
        <v>8</v>
      </c>
      <c r="D1772" t="s">
        <v>12</v>
      </c>
      <c r="E1772" t="s">
        <v>3949</v>
      </c>
      <c r="F1772" t="s">
        <v>3950</v>
      </c>
    </row>
    <row r="1773" spans="1:8" x14ac:dyDescent="0.55000000000000004">
      <c r="A1773" t="str">
        <f t="shared" si="63"/>
        <v>49</v>
      </c>
      <c r="B1773" t="str">
        <f>"49.02"</f>
        <v>49.02</v>
      </c>
      <c r="C1773" t="s">
        <v>8</v>
      </c>
      <c r="D1773" t="s">
        <v>12</v>
      </c>
      <c r="E1773" t="s">
        <v>3951</v>
      </c>
      <c r="F1773" t="s">
        <v>3952</v>
      </c>
    </row>
    <row r="1774" spans="1:8" x14ac:dyDescent="0.55000000000000004">
      <c r="A1774" t="str">
        <f t="shared" si="63"/>
        <v>49</v>
      </c>
      <c r="B1774" t="str">
        <f>"49.0202"</f>
        <v>49.0202</v>
      </c>
      <c r="C1774" t="s">
        <v>8</v>
      </c>
      <c r="D1774" t="s">
        <v>12</v>
      </c>
      <c r="E1774" t="s">
        <v>3953</v>
      </c>
      <c r="F1774" t="s">
        <v>3954</v>
      </c>
      <c r="G1774" t="s">
        <v>3955</v>
      </c>
    </row>
    <row r="1775" spans="1:8" x14ac:dyDescent="0.55000000000000004">
      <c r="A1775" t="str">
        <f t="shared" si="63"/>
        <v>49</v>
      </c>
      <c r="B1775" t="str">
        <f>"49.0205"</f>
        <v>49.0205</v>
      </c>
      <c r="C1775" t="s">
        <v>8</v>
      </c>
      <c r="D1775" t="s">
        <v>12</v>
      </c>
      <c r="E1775" t="s">
        <v>3956</v>
      </c>
      <c r="F1775" t="s">
        <v>3957</v>
      </c>
    </row>
    <row r="1776" spans="1:8" x14ac:dyDescent="0.55000000000000004">
      <c r="A1776" t="str">
        <f t="shared" si="63"/>
        <v>49</v>
      </c>
      <c r="B1776" t="str">
        <f>"49.0206"</f>
        <v>49.0206</v>
      </c>
      <c r="C1776" t="s">
        <v>8</v>
      </c>
      <c r="D1776" t="s">
        <v>9</v>
      </c>
      <c r="E1776" t="s">
        <v>3958</v>
      </c>
      <c r="F1776" t="s">
        <v>3959</v>
      </c>
      <c r="H1776" t="s">
        <v>3960</v>
      </c>
    </row>
    <row r="1777" spans="1:8" x14ac:dyDescent="0.55000000000000004">
      <c r="A1777" t="str">
        <f t="shared" si="63"/>
        <v>49</v>
      </c>
      <c r="B1777" t="str">
        <f>"49.0207"</f>
        <v>49.0207</v>
      </c>
      <c r="C1777" t="s">
        <v>8</v>
      </c>
      <c r="D1777" t="s">
        <v>12</v>
      </c>
      <c r="E1777" t="s">
        <v>3961</v>
      </c>
      <c r="F1777" t="s">
        <v>3962</v>
      </c>
    </row>
    <row r="1778" spans="1:8" x14ac:dyDescent="0.55000000000000004">
      <c r="A1778" t="str">
        <f t="shared" si="63"/>
        <v>49</v>
      </c>
      <c r="B1778" t="str">
        <f>"49.0208"</f>
        <v>49.0208</v>
      </c>
      <c r="C1778" t="s">
        <v>8</v>
      </c>
      <c r="D1778" t="s">
        <v>12</v>
      </c>
      <c r="E1778" t="s">
        <v>3963</v>
      </c>
      <c r="F1778" t="s">
        <v>3964</v>
      </c>
      <c r="H1778" t="s">
        <v>3965</v>
      </c>
    </row>
    <row r="1779" spans="1:8" x14ac:dyDescent="0.55000000000000004">
      <c r="A1779" t="str">
        <f t="shared" si="63"/>
        <v>49</v>
      </c>
      <c r="B1779" t="str">
        <f>"49.0209"</f>
        <v>49.0209</v>
      </c>
      <c r="C1779" t="s">
        <v>47</v>
      </c>
      <c r="D1779" t="s">
        <v>12</v>
      </c>
      <c r="E1779" t="s">
        <v>3966</v>
      </c>
      <c r="F1779" t="s">
        <v>3967</v>
      </c>
    </row>
    <row r="1780" spans="1:8" x14ac:dyDescent="0.55000000000000004">
      <c r="A1780" t="str">
        <f t="shared" si="63"/>
        <v>49</v>
      </c>
      <c r="B1780" t="str">
        <f>"49.0299"</f>
        <v>49.0299</v>
      </c>
      <c r="C1780" t="s">
        <v>8</v>
      </c>
      <c r="D1780" t="s">
        <v>12</v>
      </c>
      <c r="E1780" t="s">
        <v>3968</v>
      </c>
      <c r="F1780" t="s">
        <v>3969</v>
      </c>
    </row>
    <row r="1781" spans="1:8" x14ac:dyDescent="0.55000000000000004">
      <c r="A1781" t="str">
        <f t="shared" si="63"/>
        <v>49</v>
      </c>
      <c r="B1781" t="str">
        <f>"49.03"</f>
        <v>49.03</v>
      </c>
      <c r="C1781" t="s">
        <v>8</v>
      </c>
      <c r="D1781" t="s">
        <v>12</v>
      </c>
      <c r="E1781" t="s">
        <v>3970</v>
      </c>
      <c r="F1781" t="s">
        <v>3971</v>
      </c>
    </row>
    <row r="1782" spans="1:8" x14ac:dyDescent="0.55000000000000004">
      <c r="A1782" t="str">
        <f t="shared" si="63"/>
        <v>49</v>
      </c>
      <c r="B1782" t="str">
        <f>"49.0303"</f>
        <v>49.0303</v>
      </c>
      <c r="C1782" t="s">
        <v>8</v>
      </c>
      <c r="D1782" t="s">
        <v>12</v>
      </c>
      <c r="E1782" t="s">
        <v>3972</v>
      </c>
      <c r="F1782" t="s">
        <v>3973</v>
      </c>
      <c r="G1782" t="s">
        <v>3974</v>
      </c>
    </row>
    <row r="1783" spans="1:8" x14ac:dyDescent="0.55000000000000004">
      <c r="A1783" t="str">
        <f t="shared" si="63"/>
        <v>49</v>
      </c>
      <c r="B1783" t="str">
        <f>"49.0304"</f>
        <v>49.0304</v>
      </c>
      <c r="C1783" t="s">
        <v>8</v>
      </c>
      <c r="D1783" t="s">
        <v>12</v>
      </c>
      <c r="E1783" t="s">
        <v>3975</v>
      </c>
      <c r="F1783" t="s">
        <v>3976</v>
      </c>
    </row>
    <row r="1784" spans="1:8" x14ac:dyDescent="0.55000000000000004">
      <c r="A1784" t="str">
        <f t="shared" si="63"/>
        <v>49</v>
      </c>
      <c r="B1784" t="str">
        <f>"49.0309"</f>
        <v>49.0309</v>
      </c>
      <c r="C1784" t="s">
        <v>8</v>
      </c>
      <c r="D1784" t="s">
        <v>12</v>
      </c>
      <c r="E1784" t="s">
        <v>3977</v>
      </c>
      <c r="F1784" t="s">
        <v>3978</v>
      </c>
    </row>
    <row r="1785" spans="1:8" x14ac:dyDescent="0.55000000000000004">
      <c r="A1785" t="str">
        <f t="shared" si="63"/>
        <v>49</v>
      </c>
      <c r="B1785" t="str">
        <f>"49.0399"</f>
        <v>49.0399</v>
      </c>
      <c r="C1785" t="s">
        <v>8</v>
      </c>
      <c r="D1785" t="s">
        <v>12</v>
      </c>
      <c r="E1785" t="s">
        <v>3979</v>
      </c>
      <c r="F1785" t="s">
        <v>3980</v>
      </c>
    </row>
    <row r="1786" spans="1:8" x14ac:dyDescent="0.55000000000000004">
      <c r="A1786" t="str">
        <f t="shared" si="63"/>
        <v>49</v>
      </c>
      <c r="B1786" t="str">
        <f>"49.99"</f>
        <v>49.99</v>
      </c>
      <c r="C1786" t="s">
        <v>8</v>
      </c>
      <c r="D1786" t="s">
        <v>12</v>
      </c>
      <c r="E1786" t="s">
        <v>3981</v>
      </c>
      <c r="F1786" t="s">
        <v>3982</v>
      </c>
    </row>
    <row r="1787" spans="1:8" x14ac:dyDescent="0.55000000000000004">
      <c r="A1787" t="str">
        <f t="shared" si="63"/>
        <v>49</v>
      </c>
      <c r="B1787" t="str">
        <f>"49.9999"</f>
        <v>49.9999</v>
      </c>
      <c r="C1787" t="s">
        <v>8</v>
      </c>
      <c r="D1787" t="s">
        <v>12</v>
      </c>
      <c r="E1787" t="s">
        <v>3981</v>
      </c>
      <c r="F1787" t="s">
        <v>3983</v>
      </c>
    </row>
    <row r="1788" spans="1:8" x14ac:dyDescent="0.55000000000000004">
      <c r="A1788" t="str">
        <f>"50"</f>
        <v>50</v>
      </c>
      <c r="B1788" t="str">
        <f>"50"</f>
        <v>50</v>
      </c>
      <c r="C1788" t="s">
        <v>8</v>
      </c>
      <c r="D1788" t="s">
        <v>12</v>
      </c>
      <c r="E1788" t="s">
        <v>3984</v>
      </c>
      <c r="F1788" t="s">
        <v>3985</v>
      </c>
    </row>
    <row r="1789" spans="1:8" x14ac:dyDescent="0.55000000000000004">
      <c r="A1789" t="str">
        <f t="shared" ref="A1789:A1820" si="64">"50"</f>
        <v>50</v>
      </c>
      <c r="B1789" t="str">
        <f>"50.01"</f>
        <v>50.01</v>
      </c>
      <c r="C1789" t="s">
        <v>8</v>
      </c>
      <c r="D1789" t="s">
        <v>12</v>
      </c>
      <c r="E1789" t="s">
        <v>3986</v>
      </c>
      <c r="F1789" t="s">
        <v>3987</v>
      </c>
    </row>
    <row r="1790" spans="1:8" x14ac:dyDescent="0.55000000000000004">
      <c r="A1790" t="str">
        <f t="shared" si="64"/>
        <v>50</v>
      </c>
      <c r="B1790" t="str">
        <f>"50.0101"</f>
        <v>50.0101</v>
      </c>
      <c r="C1790" t="s">
        <v>8</v>
      </c>
      <c r="D1790" t="s">
        <v>12</v>
      </c>
      <c r="E1790" t="s">
        <v>3986</v>
      </c>
      <c r="F1790" t="s">
        <v>3988</v>
      </c>
    </row>
    <row r="1791" spans="1:8" x14ac:dyDescent="0.55000000000000004">
      <c r="A1791" t="str">
        <f t="shared" si="64"/>
        <v>50</v>
      </c>
      <c r="B1791" t="str">
        <f>"50.0102"</f>
        <v>50.0102</v>
      </c>
      <c r="C1791" t="s">
        <v>8</v>
      </c>
      <c r="D1791" t="s">
        <v>12</v>
      </c>
      <c r="E1791" t="s">
        <v>3989</v>
      </c>
      <c r="F1791" t="s">
        <v>3990</v>
      </c>
      <c r="G1791" t="s">
        <v>3991</v>
      </c>
      <c r="H1791" t="s">
        <v>3992</v>
      </c>
    </row>
    <row r="1792" spans="1:8" x14ac:dyDescent="0.55000000000000004">
      <c r="A1792" t="str">
        <f t="shared" si="64"/>
        <v>50</v>
      </c>
      <c r="B1792" t="str">
        <f>"50.02"</f>
        <v>50.02</v>
      </c>
      <c r="C1792" t="s">
        <v>8</v>
      </c>
      <c r="D1792" t="s">
        <v>12</v>
      </c>
      <c r="E1792" t="s">
        <v>3993</v>
      </c>
      <c r="F1792" t="s">
        <v>3994</v>
      </c>
    </row>
    <row r="1793" spans="1:8" x14ac:dyDescent="0.55000000000000004">
      <c r="A1793" t="str">
        <f t="shared" si="64"/>
        <v>50</v>
      </c>
      <c r="B1793" t="str">
        <f>"50.0201"</f>
        <v>50.0201</v>
      </c>
      <c r="C1793" t="s">
        <v>8</v>
      </c>
      <c r="D1793" t="s">
        <v>12</v>
      </c>
      <c r="E1793" t="s">
        <v>3993</v>
      </c>
      <c r="F1793" t="s">
        <v>3995</v>
      </c>
    </row>
    <row r="1794" spans="1:8" x14ac:dyDescent="0.55000000000000004">
      <c r="A1794" t="str">
        <f t="shared" si="64"/>
        <v>50</v>
      </c>
      <c r="B1794" t="str">
        <f>"50.03"</f>
        <v>50.03</v>
      </c>
      <c r="C1794" t="s">
        <v>8</v>
      </c>
      <c r="D1794" t="s">
        <v>12</v>
      </c>
      <c r="E1794" t="s">
        <v>3996</v>
      </c>
      <c r="F1794" t="s">
        <v>3997</v>
      </c>
    </row>
    <row r="1795" spans="1:8" x14ac:dyDescent="0.55000000000000004">
      <c r="A1795" t="str">
        <f t="shared" si="64"/>
        <v>50</v>
      </c>
      <c r="B1795" t="str">
        <f>"50.0301"</f>
        <v>50.0301</v>
      </c>
      <c r="C1795" t="s">
        <v>8</v>
      </c>
      <c r="D1795" t="s">
        <v>12</v>
      </c>
      <c r="E1795" t="s">
        <v>3998</v>
      </c>
      <c r="F1795" t="s">
        <v>3999</v>
      </c>
      <c r="H1795" t="s">
        <v>4000</v>
      </c>
    </row>
    <row r="1796" spans="1:8" x14ac:dyDescent="0.55000000000000004">
      <c r="A1796" t="str">
        <f t="shared" si="64"/>
        <v>50</v>
      </c>
      <c r="B1796" t="str">
        <f>"50.0302"</f>
        <v>50.0302</v>
      </c>
      <c r="C1796" t="s">
        <v>8</v>
      </c>
      <c r="D1796" t="s">
        <v>12</v>
      </c>
      <c r="E1796" t="s">
        <v>4001</v>
      </c>
      <c r="F1796" t="s">
        <v>4002</v>
      </c>
    </row>
    <row r="1797" spans="1:8" x14ac:dyDescent="0.55000000000000004">
      <c r="A1797" t="str">
        <f t="shared" si="64"/>
        <v>50</v>
      </c>
      <c r="B1797" t="str">
        <f>"50.0399"</f>
        <v>50.0399</v>
      </c>
      <c r="C1797" t="s">
        <v>8</v>
      </c>
      <c r="D1797" t="s">
        <v>12</v>
      </c>
      <c r="E1797" t="s">
        <v>4003</v>
      </c>
      <c r="F1797" t="s">
        <v>4004</v>
      </c>
    </row>
    <row r="1798" spans="1:8" x14ac:dyDescent="0.55000000000000004">
      <c r="A1798" t="str">
        <f t="shared" si="64"/>
        <v>50</v>
      </c>
      <c r="B1798" t="str">
        <f>"50.04"</f>
        <v>50.04</v>
      </c>
      <c r="C1798" t="s">
        <v>8</v>
      </c>
      <c r="D1798" t="s">
        <v>12</v>
      </c>
      <c r="E1798" t="s">
        <v>4005</v>
      </c>
      <c r="F1798" t="s">
        <v>4006</v>
      </c>
    </row>
    <row r="1799" spans="1:8" x14ac:dyDescent="0.55000000000000004">
      <c r="A1799" t="str">
        <f t="shared" si="64"/>
        <v>50</v>
      </c>
      <c r="B1799" t="str">
        <f>"50.0401"</f>
        <v>50.0401</v>
      </c>
      <c r="C1799" t="s">
        <v>8</v>
      </c>
      <c r="D1799" t="s">
        <v>12</v>
      </c>
      <c r="E1799" t="s">
        <v>4007</v>
      </c>
      <c r="F1799" t="s">
        <v>4008</v>
      </c>
    </row>
    <row r="1800" spans="1:8" x14ac:dyDescent="0.55000000000000004">
      <c r="A1800" t="str">
        <f t="shared" si="64"/>
        <v>50</v>
      </c>
      <c r="B1800" t="str">
        <f>"50.0402"</f>
        <v>50.0402</v>
      </c>
      <c r="C1800" t="s">
        <v>8</v>
      </c>
      <c r="D1800" t="s">
        <v>12</v>
      </c>
      <c r="E1800" t="s">
        <v>4009</v>
      </c>
      <c r="F1800" t="s">
        <v>4010</v>
      </c>
      <c r="G1800" t="s">
        <v>4011</v>
      </c>
      <c r="H1800" t="s">
        <v>4012</v>
      </c>
    </row>
    <row r="1801" spans="1:8" x14ac:dyDescent="0.55000000000000004">
      <c r="A1801" t="str">
        <f t="shared" si="64"/>
        <v>50</v>
      </c>
      <c r="B1801" t="str">
        <f>"50.0404"</f>
        <v>50.0404</v>
      </c>
      <c r="C1801" t="s">
        <v>8</v>
      </c>
      <c r="D1801" t="s">
        <v>12</v>
      </c>
      <c r="E1801" t="s">
        <v>4013</v>
      </c>
      <c r="F1801" t="s">
        <v>4014</v>
      </c>
    </row>
    <row r="1802" spans="1:8" x14ac:dyDescent="0.55000000000000004">
      <c r="A1802" t="str">
        <f t="shared" si="64"/>
        <v>50</v>
      </c>
      <c r="B1802" t="str">
        <f>"50.0406"</f>
        <v>50.0406</v>
      </c>
      <c r="C1802" t="s">
        <v>8</v>
      </c>
      <c r="D1802" t="s">
        <v>12</v>
      </c>
      <c r="E1802" t="s">
        <v>4015</v>
      </c>
      <c r="F1802" t="s">
        <v>4016</v>
      </c>
    </row>
    <row r="1803" spans="1:8" x14ac:dyDescent="0.55000000000000004">
      <c r="A1803" t="str">
        <f t="shared" si="64"/>
        <v>50</v>
      </c>
      <c r="B1803" t="str">
        <f>"50.0407"</f>
        <v>50.0407</v>
      </c>
      <c r="C1803" t="s">
        <v>8</v>
      </c>
      <c r="D1803" t="s">
        <v>12</v>
      </c>
      <c r="E1803" t="s">
        <v>4017</v>
      </c>
      <c r="F1803" t="s">
        <v>4018</v>
      </c>
      <c r="G1803" t="s">
        <v>4019</v>
      </c>
    </row>
    <row r="1804" spans="1:8" x14ac:dyDescent="0.55000000000000004">
      <c r="A1804" t="str">
        <f t="shared" si="64"/>
        <v>50</v>
      </c>
      <c r="B1804" t="str">
        <f>"50.0408"</f>
        <v>50.0408</v>
      </c>
      <c r="C1804" t="s">
        <v>8</v>
      </c>
      <c r="D1804" t="s">
        <v>12</v>
      </c>
      <c r="E1804" t="s">
        <v>4020</v>
      </c>
      <c r="F1804" t="s">
        <v>4021</v>
      </c>
      <c r="G1804" t="s">
        <v>4022</v>
      </c>
    </row>
    <row r="1805" spans="1:8" x14ac:dyDescent="0.55000000000000004">
      <c r="A1805" t="str">
        <f t="shared" si="64"/>
        <v>50</v>
      </c>
      <c r="B1805" t="str">
        <f>"50.0409"</f>
        <v>50.0409</v>
      </c>
      <c r="C1805" t="s">
        <v>8</v>
      </c>
      <c r="D1805" t="s">
        <v>12</v>
      </c>
      <c r="E1805" t="s">
        <v>4023</v>
      </c>
      <c r="F1805" t="s">
        <v>4024</v>
      </c>
      <c r="G1805" t="s">
        <v>4025</v>
      </c>
    </row>
    <row r="1806" spans="1:8" x14ac:dyDescent="0.55000000000000004">
      <c r="A1806" t="str">
        <f t="shared" si="64"/>
        <v>50</v>
      </c>
      <c r="B1806" t="str">
        <f>"50.0410"</f>
        <v>50.0410</v>
      </c>
      <c r="C1806" t="s">
        <v>8</v>
      </c>
      <c r="D1806" t="s">
        <v>12</v>
      </c>
      <c r="E1806" t="s">
        <v>4026</v>
      </c>
      <c r="F1806" t="s">
        <v>4027</v>
      </c>
      <c r="G1806" t="s">
        <v>4028</v>
      </c>
    </row>
    <row r="1807" spans="1:8" x14ac:dyDescent="0.55000000000000004">
      <c r="A1807" t="str">
        <f t="shared" si="64"/>
        <v>50</v>
      </c>
      <c r="B1807" t="str">
        <f>"50.0411"</f>
        <v>50.0411</v>
      </c>
      <c r="C1807" t="s">
        <v>8</v>
      </c>
      <c r="D1807" t="s">
        <v>12</v>
      </c>
      <c r="E1807" t="s">
        <v>4029</v>
      </c>
      <c r="F1807" t="s">
        <v>4030</v>
      </c>
      <c r="G1807" t="s">
        <v>4031</v>
      </c>
      <c r="H1807" t="s">
        <v>4032</v>
      </c>
    </row>
    <row r="1808" spans="1:8" x14ac:dyDescent="0.55000000000000004">
      <c r="A1808" t="str">
        <f t="shared" si="64"/>
        <v>50</v>
      </c>
      <c r="B1808" t="str">
        <f>"50.0499"</f>
        <v>50.0499</v>
      </c>
      <c r="C1808" t="s">
        <v>8</v>
      </c>
      <c r="D1808" t="s">
        <v>12</v>
      </c>
      <c r="E1808" t="s">
        <v>4033</v>
      </c>
      <c r="F1808" t="s">
        <v>4034</v>
      </c>
    </row>
    <row r="1809" spans="1:8" x14ac:dyDescent="0.55000000000000004">
      <c r="A1809" t="str">
        <f t="shared" si="64"/>
        <v>50</v>
      </c>
      <c r="B1809" t="str">
        <f>"50.05"</f>
        <v>50.05</v>
      </c>
      <c r="C1809" t="s">
        <v>8</v>
      </c>
      <c r="D1809" t="s">
        <v>12</v>
      </c>
      <c r="E1809" t="s">
        <v>4035</v>
      </c>
      <c r="F1809" t="s">
        <v>4036</v>
      </c>
    </row>
    <row r="1810" spans="1:8" x14ac:dyDescent="0.55000000000000004">
      <c r="A1810" t="str">
        <f t="shared" si="64"/>
        <v>50</v>
      </c>
      <c r="B1810" t="str">
        <f>"50.0501"</f>
        <v>50.0501</v>
      </c>
      <c r="C1810" t="s">
        <v>8</v>
      </c>
      <c r="D1810" t="s">
        <v>12</v>
      </c>
      <c r="E1810" t="s">
        <v>4037</v>
      </c>
      <c r="F1810" t="s">
        <v>4038</v>
      </c>
    </row>
    <row r="1811" spans="1:8" x14ac:dyDescent="0.55000000000000004">
      <c r="A1811" t="str">
        <f t="shared" si="64"/>
        <v>50</v>
      </c>
      <c r="B1811" t="str">
        <f>"50.0502"</f>
        <v>50.0502</v>
      </c>
      <c r="C1811" t="s">
        <v>8</v>
      </c>
      <c r="D1811" t="s">
        <v>12</v>
      </c>
      <c r="E1811" t="s">
        <v>4039</v>
      </c>
      <c r="F1811" t="s">
        <v>4040</v>
      </c>
      <c r="H1811" t="s">
        <v>4041</v>
      </c>
    </row>
    <row r="1812" spans="1:8" x14ac:dyDescent="0.55000000000000004">
      <c r="A1812" t="str">
        <f t="shared" si="64"/>
        <v>50</v>
      </c>
      <c r="B1812" t="str">
        <f>"50.0504"</f>
        <v>50.0504</v>
      </c>
      <c r="C1812" t="s">
        <v>8</v>
      </c>
      <c r="D1812" t="s">
        <v>12</v>
      </c>
      <c r="E1812" t="s">
        <v>4042</v>
      </c>
      <c r="F1812" t="s">
        <v>4043</v>
      </c>
      <c r="H1812" t="s">
        <v>4044</v>
      </c>
    </row>
    <row r="1813" spans="1:8" x14ac:dyDescent="0.55000000000000004">
      <c r="A1813" t="str">
        <f t="shared" si="64"/>
        <v>50</v>
      </c>
      <c r="B1813" t="str">
        <f>"50.0505"</f>
        <v>50.0505</v>
      </c>
      <c r="C1813" t="s">
        <v>8</v>
      </c>
      <c r="D1813" t="s">
        <v>12</v>
      </c>
      <c r="E1813" t="s">
        <v>4045</v>
      </c>
      <c r="F1813" t="s">
        <v>4046</v>
      </c>
    </row>
    <row r="1814" spans="1:8" x14ac:dyDescent="0.55000000000000004">
      <c r="A1814" t="str">
        <f t="shared" si="64"/>
        <v>50</v>
      </c>
      <c r="B1814" t="str">
        <f>"50.0506"</f>
        <v>50.0506</v>
      </c>
      <c r="C1814" t="s">
        <v>8</v>
      </c>
      <c r="D1814" t="s">
        <v>12</v>
      </c>
      <c r="E1814" t="s">
        <v>4047</v>
      </c>
      <c r="F1814" t="s">
        <v>4048</v>
      </c>
    </row>
    <row r="1815" spans="1:8" x14ac:dyDescent="0.55000000000000004">
      <c r="A1815" t="str">
        <f t="shared" si="64"/>
        <v>50</v>
      </c>
      <c r="B1815" t="str">
        <f>"50.0507"</f>
        <v>50.0507</v>
      </c>
      <c r="C1815" t="s">
        <v>8</v>
      </c>
      <c r="D1815" t="s">
        <v>12</v>
      </c>
      <c r="E1815" t="s">
        <v>4049</v>
      </c>
      <c r="F1815" t="s">
        <v>4050</v>
      </c>
    </row>
    <row r="1816" spans="1:8" x14ac:dyDescent="0.55000000000000004">
      <c r="A1816" t="str">
        <f t="shared" si="64"/>
        <v>50</v>
      </c>
      <c r="B1816" t="str">
        <f>"50.0509"</f>
        <v>50.0509</v>
      </c>
      <c r="C1816" t="s">
        <v>8</v>
      </c>
      <c r="D1816" t="s">
        <v>12</v>
      </c>
      <c r="E1816" t="s">
        <v>4051</v>
      </c>
      <c r="F1816" t="s">
        <v>4052</v>
      </c>
    </row>
    <row r="1817" spans="1:8" x14ac:dyDescent="0.55000000000000004">
      <c r="A1817" t="str">
        <f t="shared" si="64"/>
        <v>50</v>
      </c>
      <c r="B1817" t="str">
        <f>"50.0510"</f>
        <v>50.0510</v>
      </c>
      <c r="C1817" t="s">
        <v>8</v>
      </c>
      <c r="D1817" t="s">
        <v>12</v>
      </c>
      <c r="E1817" t="s">
        <v>4053</v>
      </c>
      <c r="F1817" t="s">
        <v>4054</v>
      </c>
    </row>
    <row r="1818" spans="1:8" x14ac:dyDescent="0.55000000000000004">
      <c r="A1818" t="str">
        <f t="shared" si="64"/>
        <v>50</v>
      </c>
      <c r="B1818" t="str">
        <f>"50.0511"</f>
        <v>50.0511</v>
      </c>
      <c r="C1818" t="s">
        <v>47</v>
      </c>
      <c r="D1818" t="s">
        <v>12</v>
      </c>
      <c r="E1818" t="s">
        <v>4055</v>
      </c>
      <c r="F1818" t="s">
        <v>4056</v>
      </c>
      <c r="H1818" t="s">
        <v>4057</v>
      </c>
    </row>
    <row r="1819" spans="1:8" x14ac:dyDescent="0.55000000000000004">
      <c r="A1819" t="str">
        <f t="shared" si="64"/>
        <v>50</v>
      </c>
      <c r="B1819" t="str">
        <f>"50.0512"</f>
        <v>50.0512</v>
      </c>
      <c r="C1819" t="s">
        <v>47</v>
      </c>
      <c r="D1819" t="s">
        <v>12</v>
      </c>
      <c r="E1819" t="s">
        <v>4058</v>
      </c>
      <c r="F1819" t="s">
        <v>4059</v>
      </c>
    </row>
    <row r="1820" spans="1:8" x14ac:dyDescent="0.55000000000000004">
      <c r="A1820" t="str">
        <f t="shared" si="64"/>
        <v>50</v>
      </c>
      <c r="B1820" t="str">
        <f>"50.0599"</f>
        <v>50.0599</v>
      </c>
      <c r="C1820" t="s">
        <v>8</v>
      </c>
      <c r="D1820" t="s">
        <v>12</v>
      </c>
      <c r="E1820" t="s">
        <v>4060</v>
      </c>
      <c r="F1820" t="s">
        <v>4061</v>
      </c>
      <c r="G1820" t="s">
        <v>4062</v>
      </c>
    </row>
    <row r="1821" spans="1:8" x14ac:dyDescent="0.55000000000000004">
      <c r="A1821" t="str">
        <f t="shared" ref="A1821:A1852" si="65">"50"</f>
        <v>50</v>
      </c>
      <c r="B1821" t="str">
        <f>"50.06"</f>
        <v>50.06</v>
      </c>
      <c r="C1821" t="s">
        <v>8</v>
      </c>
      <c r="D1821" t="s">
        <v>12</v>
      </c>
      <c r="E1821" t="s">
        <v>4063</v>
      </c>
      <c r="F1821" t="s">
        <v>4064</v>
      </c>
    </row>
    <row r="1822" spans="1:8" x14ac:dyDescent="0.55000000000000004">
      <c r="A1822" t="str">
        <f t="shared" si="65"/>
        <v>50</v>
      </c>
      <c r="B1822" t="str">
        <f>"50.0601"</f>
        <v>50.0601</v>
      </c>
      <c r="C1822" t="s">
        <v>8</v>
      </c>
      <c r="D1822" t="s">
        <v>9</v>
      </c>
      <c r="E1822" t="s">
        <v>4065</v>
      </c>
      <c r="F1822" t="s">
        <v>4066</v>
      </c>
      <c r="H1822" t="s">
        <v>4067</v>
      </c>
    </row>
    <row r="1823" spans="1:8" x14ac:dyDescent="0.55000000000000004">
      <c r="A1823" t="str">
        <f t="shared" si="65"/>
        <v>50</v>
      </c>
      <c r="B1823" t="str">
        <f>"50.0602"</f>
        <v>50.0602</v>
      </c>
      <c r="C1823" t="s">
        <v>8</v>
      </c>
      <c r="D1823" t="s">
        <v>12</v>
      </c>
      <c r="E1823" t="s">
        <v>4068</v>
      </c>
      <c r="F1823" t="s">
        <v>4069</v>
      </c>
      <c r="H1823" t="s">
        <v>4070</v>
      </c>
    </row>
    <row r="1824" spans="1:8" x14ac:dyDescent="0.55000000000000004">
      <c r="A1824" t="str">
        <f t="shared" si="65"/>
        <v>50</v>
      </c>
      <c r="B1824" t="str">
        <f>"50.0605"</f>
        <v>50.0605</v>
      </c>
      <c r="C1824" t="s">
        <v>8</v>
      </c>
      <c r="D1824" t="s">
        <v>12</v>
      </c>
      <c r="E1824" t="s">
        <v>4071</v>
      </c>
      <c r="F1824" t="s">
        <v>4072</v>
      </c>
      <c r="G1824" t="s">
        <v>4073</v>
      </c>
    </row>
    <row r="1825" spans="1:8" x14ac:dyDescent="0.55000000000000004">
      <c r="A1825" t="str">
        <f t="shared" si="65"/>
        <v>50</v>
      </c>
      <c r="B1825" t="str">
        <f>"50.0607"</f>
        <v>50.0607</v>
      </c>
      <c r="C1825" t="s">
        <v>8</v>
      </c>
      <c r="D1825" t="s">
        <v>12</v>
      </c>
      <c r="E1825" t="s">
        <v>4074</v>
      </c>
      <c r="F1825" t="s">
        <v>4075</v>
      </c>
    </row>
    <row r="1826" spans="1:8" x14ac:dyDescent="0.55000000000000004">
      <c r="A1826" t="str">
        <f t="shared" si="65"/>
        <v>50</v>
      </c>
      <c r="B1826" t="str">
        <f>"50.0699"</f>
        <v>50.0699</v>
      </c>
      <c r="C1826" t="s">
        <v>8</v>
      </c>
      <c r="D1826" t="s">
        <v>12</v>
      </c>
      <c r="E1826" t="s">
        <v>4076</v>
      </c>
      <c r="F1826" t="s">
        <v>4077</v>
      </c>
    </row>
    <row r="1827" spans="1:8" x14ac:dyDescent="0.55000000000000004">
      <c r="A1827" t="str">
        <f t="shared" si="65"/>
        <v>50</v>
      </c>
      <c r="B1827" t="str">
        <f>"50.07"</f>
        <v>50.07</v>
      </c>
      <c r="C1827" t="s">
        <v>8</v>
      </c>
      <c r="D1827" t="s">
        <v>12</v>
      </c>
      <c r="E1827" t="s">
        <v>4078</v>
      </c>
      <c r="F1827" t="s">
        <v>4079</v>
      </c>
    </row>
    <row r="1828" spans="1:8" x14ac:dyDescent="0.55000000000000004">
      <c r="A1828" t="str">
        <f t="shared" si="65"/>
        <v>50</v>
      </c>
      <c r="B1828" t="str">
        <f>"50.0701"</f>
        <v>50.0701</v>
      </c>
      <c r="C1828" t="s">
        <v>8</v>
      </c>
      <c r="D1828" t="s">
        <v>12</v>
      </c>
      <c r="E1828" t="s">
        <v>4080</v>
      </c>
      <c r="F1828" t="s">
        <v>4081</v>
      </c>
    </row>
    <row r="1829" spans="1:8" x14ac:dyDescent="0.55000000000000004">
      <c r="A1829" t="str">
        <f t="shared" si="65"/>
        <v>50</v>
      </c>
      <c r="B1829" t="str">
        <f>"50.0702"</f>
        <v>50.0702</v>
      </c>
      <c r="C1829" t="s">
        <v>8</v>
      </c>
      <c r="D1829" t="s">
        <v>12</v>
      </c>
      <c r="E1829" t="s">
        <v>4082</v>
      </c>
      <c r="F1829" t="s">
        <v>4083</v>
      </c>
    </row>
    <row r="1830" spans="1:8" x14ac:dyDescent="0.55000000000000004">
      <c r="A1830" t="str">
        <f t="shared" si="65"/>
        <v>50</v>
      </c>
      <c r="B1830" t="str">
        <f>"50.0703"</f>
        <v>50.0703</v>
      </c>
      <c r="C1830" t="s">
        <v>8</v>
      </c>
      <c r="D1830" t="s">
        <v>12</v>
      </c>
      <c r="E1830" t="s">
        <v>4084</v>
      </c>
      <c r="F1830" t="s">
        <v>4085</v>
      </c>
    </row>
    <row r="1831" spans="1:8" x14ac:dyDescent="0.55000000000000004">
      <c r="A1831" t="str">
        <f t="shared" si="65"/>
        <v>50</v>
      </c>
      <c r="B1831" t="str">
        <f>"50.0705"</f>
        <v>50.0705</v>
      </c>
      <c r="C1831" t="s">
        <v>8</v>
      </c>
      <c r="D1831" t="s">
        <v>12</v>
      </c>
      <c r="E1831" t="s">
        <v>4086</v>
      </c>
      <c r="F1831" t="s">
        <v>4087</v>
      </c>
    </row>
    <row r="1832" spans="1:8" x14ac:dyDescent="0.55000000000000004">
      <c r="A1832" t="str">
        <f t="shared" si="65"/>
        <v>50</v>
      </c>
      <c r="B1832" t="str">
        <f>"50.0706"</f>
        <v>50.0706</v>
      </c>
      <c r="C1832" t="s">
        <v>8</v>
      </c>
      <c r="D1832" t="s">
        <v>12</v>
      </c>
      <c r="E1832" t="s">
        <v>4088</v>
      </c>
      <c r="F1832" t="s">
        <v>4089</v>
      </c>
    </row>
    <row r="1833" spans="1:8" x14ac:dyDescent="0.55000000000000004">
      <c r="A1833" t="str">
        <f t="shared" si="65"/>
        <v>50</v>
      </c>
      <c r="B1833" t="str">
        <f>"50.0708"</f>
        <v>50.0708</v>
      </c>
      <c r="C1833" t="s">
        <v>8</v>
      </c>
      <c r="D1833" t="s">
        <v>12</v>
      </c>
      <c r="E1833" t="s">
        <v>4090</v>
      </c>
      <c r="F1833" t="s">
        <v>4091</v>
      </c>
      <c r="H1833" t="s">
        <v>4092</v>
      </c>
    </row>
    <row r="1834" spans="1:8" x14ac:dyDescent="0.55000000000000004">
      <c r="A1834" t="str">
        <f t="shared" si="65"/>
        <v>50</v>
      </c>
      <c r="B1834" t="str">
        <f>"50.0709"</f>
        <v>50.0709</v>
      </c>
      <c r="C1834" t="s">
        <v>8</v>
      </c>
      <c r="D1834" t="s">
        <v>12</v>
      </c>
      <c r="E1834" t="s">
        <v>4093</v>
      </c>
      <c r="F1834" t="s">
        <v>4094</v>
      </c>
    </row>
    <row r="1835" spans="1:8" x14ac:dyDescent="0.55000000000000004">
      <c r="A1835" t="str">
        <f t="shared" si="65"/>
        <v>50</v>
      </c>
      <c r="B1835" t="str">
        <f>"50.0710"</f>
        <v>50.0710</v>
      </c>
      <c r="C1835" t="s">
        <v>8</v>
      </c>
      <c r="D1835" t="s">
        <v>12</v>
      </c>
      <c r="E1835" t="s">
        <v>4095</v>
      </c>
      <c r="F1835" t="s">
        <v>4096</v>
      </c>
    </row>
    <row r="1836" spans="1:8" x14ac:dyDescent="0.55000000000000004">
      <c r="A1836" t="str">
        <f t="shared" si="65"/>
        <v>50</v>
      </c>
      <c r="B1836" t="str">
        <f>"50.0711"</f>
        <v>50.0711</v>
      </c>
      <c r="C1836" t="s">
        <v>8</v>
      </c>
      <c r="D1836" t="s">
        <v>12</v>
      </c>
      <c r="E1836" t="s">
        <v>4097</v>
      </c>
      <c r="F1836" t="s">
        <v>4098</v>
      </c>
      <c r="G1836" t="s">
        <v>4099</v>
      </c>
    </row>
    <row r="1837" spans="1:8" x14ac:dyDescent="0.55000000000000004">
      <c r="A1837" t="str">
        <f t="shared" si="65"/>
        <v>50</v>
      </c>
      <c r="B1837" t="str">
        <f>"50.0712"</f>
        <v>50.0712</v>
      </c>
      <c r="C1837" t="s">
        <v>8</v>
      </c>
      <c r="D1837" t="s">
        <v>12</v>
      </c>
      <c r="E1837" t="s">
        <v>4100</v>
      </c>
      <c r="F1837" t="s">
        <v>4101</v>
      </c>
      <c r="G1837" t="s">
        <v>4019</v>
      </c>
    </row>
    <row r="1838" spans="1:8" x14ac:dyDescent="0.55000000000000004">
      <c r="A1838" t="str">
        <f t="shared" si="65"/>
        <v>50</v>
      </c>
      <c r="B1838" t="str">
        <f>"50.0713"</f>
        <v>50.0713</v>
      </c>
      <c r="C1838" t="s">
        <v>8</v>
      </c>
      <c r="D1838" t="s">
        <v>9</v>
      </c>
      <c r="E1838" t="s">
        <v>4102</v>
      </c>
      <c r="F1838" t="s">
        <v>4103</v>
      </c>
    </row>
    <row r="1839" spans="1:8" x14ac:dyDescent="0.55000000000000004">
      <c r="A1839" t="str">
        <f t="shared" si="65"/>
        <v>50</v>
      </c>
      <c r="B1839" t="str">
        <f>"50.0714"</f>
        <v>50.0714</v>
      </c>
      <c r="C1839" t="s">
        <v>47</v>
      </c>
      <c r="D1839" t="s">
        <v>12</v>
      </c>
      <c r="E1839" t="s">
        <v>4104</v>
      </c>
      <c r="F1839" t="s">
        <v>4105</v>
      </c>
    </row>
    <row r="1840" spans="1:8" x14ac:dyDescent="0.55000000000000004">
      <c r="A1840" t="str">
        <f t="shared" si="65"/>
        <v>50</v>
      </c>
      <c r="B1840" t="str">
        <f>"50.0799"</f>
        <v>50.0799</v>
      </c>
      <c r="C1840" t="s">
        <v>8</v>
      </c>
      <c r="D1840" t="s">
        <v>12</v>
      </c>
      <c r="E1840" t="s">
        <v>4106</v>
      </c>
      <c r="F1840" t="s">
        <v>4107</v>
      </c>
      <c r="H1840" t="s">
        <v>4108</v>
      </c>
    </row>
    <row r="1841" spans="1:8" x14ac:dyDescent="0.55000000000000004">
      <c r="A1841" t="str">
        <f t="shared" si="65"/>
        <v>50</v>
      </c>
      <c r="B1841" t="str">
        <f>"50.09"</f>
        <v>50.09</v>
      </c>
      <c r="C1841" t="s">
        <v>8</v>
      </c>
      <c r="D1841" t="s">
        <v>12</v>
      </c>
      <c r="E1841" t="s">
        <v>2944</v>
      </c>
      <c r="F1841" t="s">
        <v>4109</v>
      </c>
    </row>
    <row r="1842" spans="1:8" x14ac:dyDescent="0.55000000000000004">
      <c r="A1842" t="str">
        <f t="shared" si="65"/>
        <v>50</v>
      </c>
      <c r="B1842" t="str">
        <f>"50.0901"</f>
        <v>50.0901</v>
      </c>
      <c r="C1842" t="s">
        <v>8</v>
      </c>
      <c r="D1842" t="s">
        <v>12</v>
      </c>
      <c r="E1842" t="s">
        <v>4110</v>
      </c>
      <c r="F1842" t="s">
        <v>4111</v>
      </c>
    </row>
    <row r="1843" spans="1:8" x14ac:dyDescent="0.55000000000000004">
      <c r="A1843" t="str">
        <f t="shared" si="65"/>
        <v>50</v>
      </c>
      <c r="B1843" t="str">
        <f>"50.0902"</f>
        <v>50.0902</v>
      </c>
      <c r="C1843" t="s">
        <v>8</v>
      </c>
      <c r="D1843" t="s">
        <v>12</v>
      </c>
      <c r="E1843" t="s">
        <v>4112</v>
      </c>
      <c r="F1843" t="s">
        <v>4113</v>
      </c>
    </row>
    <row r="1844" spans="1:8" x14ac:dyDescent="0.55000000000000004">
      <c r="A1844" t="str">
        <f t="shared" si="65"/>
        <v>50</v>
      </c>
      <c r="B1844" t="str">
        <f>"50.0903"</f>
        <v>50.0903</v>
      </c>
      <c r="C1844" t="s">
        <v>8</v>
      </c>
      <c r="D1844" t="s">
        <v>12</v>
      </c>
      <c r="E1844" t="s">
        <v>4114</v>
      </c>
      <c r="F1844" t="s">
        <v>4115</v>
      </c>
    </row>
    <row r="1845" spans="1:8" x14ac:dyDescent="0.55000000000000004">
      <c r="A1845" t="str">
        <f t="shared" si="65"/>
        <v>50</v>
      </c>
      <c r="B1845" t="str">
        <f>"50.0904"</f>
        <v>50.0904</v>
      </c>
      <c r="C1845" t="s">
        <v>8</v>
      </c>
      <c r="D1845" t="s">
        <v>12</v>
      </c>
      <c r="E1845" t="s">
        <v>4116</v>
      </c>
      <c r="F1845" t="s">
        <v>4117</v>
      </c>
    </row>
    <row r="1846" spans="1:8" x14ac:dyDescent="0.55000000000000004">
      <c r="A1846" t="str">
        <f t="shared" si="65"/>
        <v>50</v>
      </c>
      <c r="B1846" t="str">
        <f>"50.0905"</f>
        <v>50.0905</v>
      </c>
      <c r="C1846" t="s">
        <v>8</v>
      </c>
      <c r="D1846" t="s">
        <v>12</v>
      </c>
      <c r="E1846" t="s">
        <v>4118</v>
      </c>
      <c r="F1846" t="s">
        <v>4119</v>
      </c>
    </row>
    <row r="1847" spans="1:8" x14ac:dyDescent="0.55000000000000004">
      <c r="A1847" t="str">
        <f t="shared" si="65"/>
        <v>50</v>
      </c>
      <c r="B1847" t="str">
        <f>"50.0906"</f>
        <v>50.0906</v>
      </c>
      <c r="C1847" t="s">
        <v>8</v>
      </c>
      <c r="D1847" t="s">
        <v>12</v>
      </c>
      <c r="E1847" t="s">
        <v>4120</v>
      </c>
      <c r="F1847" t="s">
        <v>4121</v>
      </c>
    </row>
    <row r="1848" spans="1:8" x14ac:dyDescent="0.55000000000000004">
      <c r="A1848" t="str">
        <f t="shared" si="65"/>
        <v>50</v>
      </c>
      <c r="B1848" t="str">
        <f>"50.0907"</f>
        <v>50.0907</v>
      </c>
      <c r="C1848" t="s">
        <v>8</v>
      </c>
      <c r="D1848" t="s">
        <v>12</v>
      </c>
      <c r="E1848" t="s">
        <v>4122</v>
      </c>
      <c r="F1848" t="s">
        <v>4123</v>
      </c>
      <c r="H1848" t="s">
        <v>4124</v>
      </c>
    </row>
    <row r="1849" spans="1:8" x14ac:dyDescent="0.55000000000000004">
      <c r="A1849" t="str">
        <f t="shared" si="65"/>
        <v>50</v>
      </c>
      <c r="B1849" t="str">
        <f>"50.0908"</f>
        <v>50.0908</v>
      </c>
      <c r="C1849" t="s">
        <v>8</v>
      </c>
      <c r="D1849" t="s">
        <v>12</v>
      </c>
      <c r="E1849" t="s">
        <v>4125</v>
      </c>
      <c r="F1849" t="s">
        <v>4126</v>
      </c>
    </row>
    <row r="1850" spans="1:8" x14ac:dyDescent="0.55000000000000004">
      <c r="A1850" t="str">
        <f t="shared" si="65"/>
        <v>50</v>
      </c>
      <c r="B1850" t="str">
        <f>"50.0910"</f>
        <v>50.0910</v>
      </c>
      <c r="C1850" t="s">
        <v>8</v>
      </c>
      <c r="D1850" t="s">
        <v>12</v>
      </c>
      <c r="E1850" t="s">
        <v>4127</v>
      </c>
      <c r="F1850" t="s">
        <v>4128</v>
      </c>
    </row>
    <row r="1851" spans="1:8" x14ac:dyDescent="0.55000000000000004">
      <c r="A1851" t="str">
        <f t="shared" si="65"/>
        <v>50</v>
      </c>
      <c r="B1851" t="str">
        <f>"50.0911"</f>
        <v>50.0911</v>
      </c>
      <c r="C1851" t="s">
        <v>8</v>
      </c>
      <c r="D1851" t="s">
        <v>12</v>
      </c>
      <c r="E1851" t="s">
        <v>4129</v>
      </c>
      <c r="F1851" t="s">
        <v>4130</v>
      </c>
      <c r="H1851" t="s">
        <v>4131</v>
      </c>
    </row>
    <row r="1852" spans="1:8" x14ac:dyDescent="0.55000000000000004">
      <c r="A1852" t="str">
        <f t="shared" si="65"/>
        <v>50</v>
      </c>
      <c r="B1852" t="str">
        <f>"50.0912"</f>
        <v>50.0912</v>
      </c>
      <c r="C1852" t="s">
        <v>8</v>
      </c>
      <c r="D1852" t="s">
        <v>12</v>
      </c>
      <c r="E1852" t="s">
        <v>4132</v>
      </c>
      <c r="F1852" t="s">
        <v>4133</v>
      </c>
    </row>
    <row r="1853" spans="1:8" x14ac:dyDescent="0.55000000000000004">
      <c r="A1853" t="str">
        <f t="shared" ref="A1853:A1868" si="66">"50"</f>
        <v>50</v>
      </c>
      <c r="B1853" t="str">
        <f>"50.0913"</f>
        <v>50.0913</v>
      </c>
      <c r="C1853" t="s">
        <v>8</v>
      </c>
      <c r="D1853" t="s">
        <v>12</v>
      </c>
      <c r="E1853" t="s">
        <v>4134</v>
      </c>
      <c r="F1853" t="s">
        <v>4135</v>
      </c>
      <c r="G1853" t="s">
        <v>4136</v>
      </c>
    </row>
    <row r="1854" spans="1:8" x14ac:dyDescent="0.55000000000000004">
      <c r="A1854" t="str">
        <f t="shared" si="66"/>
        <v>50</v>
      </c>
      <c r="B1854" t="str">
        <f>"50.0914"</f>
        <v>50.0914</v>
      </c>
      <c r="C1854" t="s">
        <v>8</v>
      </c>
      <c r="D1854" t="s">
        <v>12</v>
      </c>
      <c r="E1854" t="s">
        <v>4137</v>
      </c>
      <c r="F1854" t="s">
        <v>4138</v>
      </c>
      <c r="H1854" t="s">
        <v>4139</v>
      </c>
    </row>
    <row r="1855" spans="1:8" x14ac:dyDescent="0.55000000000000004">
      <c r="A1855" t="str">
        <f t="shared" si="66"/>
        <v>50</v>
      </c>
      <c r="B1855" t="str">
        <f>"50.0915"</f>
        <v>50.0915</v>
      </c>
      <c r="C1855" t="s">
        <v>8</v>
      </c>
      <c r="D1855" t="s">
        <v>12</v>
      </c>
      <c r="E1855" t="s">
        <v>4140</v>
      </c>
      <c r="F1855" t="s">
        <v>4141</v>
      </c>
      <c r="H1855" t="s">
        <v>4142</v>
      </c>
    </row>
    <row r="1856" spans="1:8" x14ac:dyDescent="0.55000000000000004">
      <c r="A1856" t="str">
        <f t="shared" si="66"/>
        <v>50</v>
      </c>
      <c r="B1856" t="str">
        <f>"50.0916"</f>
        <v>50.0916</v>
      </c>
      <c r="C1856" t="s">
        <v>8</v>
      </c>
      <c r="D1856" t="s">
        <v>12</v>
      </c>
      <c r="E1856" t="s">
        <v>4143</v>
      </c>
      <c r="F1856" t="s">
        <v>4144</v>
      </c>
      <c r="H1856" t="s">
        <v>4145</v>
      </c>
    </row>
    <row r="1857" spans="1:8" x14ac:dyDescent="0.55000000000000004">
      <c r="A1857" t="str">
        <f t="shared" si="66"/>
        <v>50</v>
      </c>
      <c r="B1857" t="str">
        <f>"50.0917"</f>
        <v>50.0917</v>
      </c>
      <c r="C1857" t="s">
        <v>47</v>
      </c>
      <c r="D1857" t="s">
        <v>12</v>
      </c>
      <c r="E1857" t="s">
        <v>4146</v>
      </c>
      <c r="F1857" t="s">
        <v>4147</v>
      </c>
      <c r="G1857" t="s">
        <v>4136</v>
      </c>
    </row>
    <row r="1858" spans="1:8" x14ac:dyDescent="0.55000000000000004">
      <c r="A1858" t="str">
        <f t="shared" si="66"/>
        <v>50</v>
      </c>
      <c r="B1858" t="str">
        <f>"50.0999"</f>
        <v>50.0999</v>
      </c>
      <c r="C1858" t="s">
        <v>8</v>
      </c>
      <c r="D1858" t="s">
        <v>12</v>
      </c>
      <c r="E1858" t="s">
        <v>4148</v>
      </c>
      <c r="F1858" t="s">
        <v>4149</v>
      </c>
    </row>
    <row r="1859" spans="1:8" x14ac:dyDescent="0.55000000000000004">
      <c r="A1859" t="str">
        <f t="shared" si="66"/>
        <v>50</v>
      </c>
      <c r="B1859" t="str">
        <f>"50.10"</f>
        <v>50.10</v>
      </c>
      <c r="C1859" t="s">
        <v>8</v>
      </c>
      <c r="D1859" t="s">
        <v>12</v>
      </c>
      <c r="E1859" t="s">
        <v>4150</v>
      </c>
      <c r="F1859" t="s">
        <v>4151</v>
      </c>
    </row>
    <row r="1860" spans="1:8" x14ac:dyDescent="0.55000000000000004">
      <c r="A1860" t="str">
        <f t="shared" si="66"/>
        <v>50</v>
      </c>
      <c r="B1860" t="str">
        <f>"50.1001"</f>
        <v>50.1001</v>
      </c>
      <c r="C1860" t="s">
        <v>8</v>
      </c>
      <c r="D1860" t="s">
        <v>12</v>
      </c>
      <c r="E1860" t="s">
        <v>4152</v>
      </c>
      <c r="F1860" t="s">
        <v>4153</v>
      </c>
      <c r="H1860" t="s">
        <v>4154</v>
      </c>
    </row>
    <row r="1861" spans="1:8" x14ac:dyDescent="0.55000000000000004">
      <c r="A1861" t="str">
        <f t="shared" si="66"/>
        <v>50</v>
      </c>
      <c r="B1861" t="str">
        <f>"50.1002"</f>
        <v>50.1002</v>
      </c>
      <c r="C1861" t="s">
        <v>8</v>
      </c>
      <c r="D1861" t="s">
        <v>12</v>
      </c>
      <c r="E1861" t="s">
        <v>4155</v>
      </c>
      <c r="F1861" t="s">
        <v>4156</v>
      </c>
      <c r="G1861" t="s">
        <v>4157</v>
      </c>
      <c r="H1861" t="s">
        <v>4158</v>
      </c>
    </row>
    <row r="1862" spans="1:8" x14ac:dyDescent="0.55000000000000004">
      <c r="A1862" t="str">
        <f t="shared" si="66"/>
        <v>50</v>
      </c>
      <c r="B1862" t="str">
        <f>"50.1003"</f>
        <v>50.1003</v>
      </c>
      <c r="C1862" t="s">
        <v>8</v>
      </c>
      <c r="D1862" t="s">
        <v>12</v>
      </c>
      <c r="E1862" t="s">
        <v>4159</v>
      </c>
      <c r="F1862" t="s">
        <v>4160</v>
      </c>
      <c r="H1862" t="s">
        <v>4161</v>
      </c>
    </row>
    <row r="1863" spans="1:8" x14ac:dyDescent="0.55000000000000004">
      <c r="A1863" t="str">
        <f t="shared" si="66"/>
        <v>50</v>
      </c>
      <c r="B1863" t="str">
        <f>"50.1004"</f>
        <v>50.1004</v>
      </c>
      <c r="C1863" t="s">
        <v>8</v>
      </c>
      <c r="D1863" t="s">
        <v>12</v>
      </c>
      <c r="E1863" t="s">
        <v>4162</v>
      </c>
      <c r="F1863" t="s">
        <v>4163</v>
      </c>
    </row>
    <row r="1864" spans="1:8" x14ac:dyDescent="0.55000000000000004">
      <c r="A1864" t="str">
        <f t="shared" si="66"/>
        <v>50</v>
      </c>
      <c r="B1864" t="str">
        <f>"50.1099"</f>
        <v>50.1099</v>
      </c>
      <c r="C1864" t="s">
        <v>8</v>
      </c>
      <c r="D1864" t="s">
        <v>12</v>
      </c>
      <c r="E1864" t="s">
        <v>4164</v>
      </c>
      <c r="F1864" t="s">
        <v>4165</v>
      </c>
    </row>
    <row r="1865" spans="1:8" x14ac:dyDescent="0.55000000000000004">
      <c r="A1865" t="str">
        <f t="shared" si="66"/>
        <v>50</v>
      </c>
      <c r="B1865" t="str">
        <f>"50.11"</f>
        <v>50.11</v>
      </c>
      <c r="C1865" t="s">
        <v>47</v>
      </c>
      <c r="D1865" t="s">
        <v>12</v>
      </c>
      <c r="E1865" t="s">
        <v>4166</v>
      </c>
      <c r="F1865" t="s">
        <v>4167</v>
      </c>
    </row>
    <row r="1866" spans="1:8" x14ac:dyDescent="0.55000000000000004">
      <c r="A1866" t="str">
        <f t="shared" si="66"/>
        <v>50</v>
      </c>
      <c r="B1866" t="str">
        <f>"50.1101"</f>
        <v>50.1101</v>
      </c>
      <c r="C1866" t="s">
        <v>47</v>
      </c>
      <c r="D1866" t="s">
        <v>12</v>
      </c>
      <c r="E1866" t="s">
        <v>4166</v>
      </c>
      <c r="F1866" t="s">
        <v>4168</v>
      </c>
      <c r="H1866" t="s">
        <v>4169</v>
      </c>
    </row>
    <row r="1867" spans="1:8" x14ac:dyDescent="0.55000000000000004">
      <c r="A1867" t="str">
        <f t="shared" si="66"/>
        <v>50</v>
      </c>
      <c r="B1867" t="str">
        <f>"50.99"</f>
        <v>50.99</v>
      </c>
      <c r="C1867" t="s">
        <v>8</v>
      </c>
      <c r="D1867" t="s">
        <v>12</v>
      </c>
      <c r="E1867" t="s">
        <v>4170</v>
      </c>
      <c r="F1867" t="s">
        <v>4171</v>
      </c>
    </row>
    <row r="1868" spans="1:8" x14ac:dyDescent="0.55000000000000004">
      <c r="A1868" t="str">
        <f t="shared" si="66"/>
        <v>50</v>
      </c>
      <c r="B1868" t="str">
        <f>"50.9999"</f>
        <v>50.9999</v>
      </c>
      <c r="C1868" t="s">
        <v>8</v>
      </c>
      <c r="D1868" t="s">
        <v>12</v>
      </c>
      <c r="E1868" t="s">
        <v>4170</v>
      </c>
      <c r="F1868" t="s">
        <v>4172</v>
      </c>
    </row>
    <row r="1869" spans="1:8" x14ac:dyDescent="0.55000000000000004">
      <c r="A1869" t="str">
        <f>"51"</f>
        <v>51</v>
      </c>
      <c r="B1869" t="str">
        <f>"51"</f>
        <v>51</v>
      </c>
      <c r="C1869" t="s">
        <v>8</v>
      </c>
      <c r="D1869" t="s">
        <v>12</v>
      </c>
      <c r="E1869" t="s">
        <v>4173</v>
      </c>
      <c r="F1869" t="s">
        <v>4174</v>
      </c>
    </row>
    <row r="1870" spans="1:8" x14ac:dyDescent="0.55000000000000004">
      <c r="A1870" t="str">
        <f t="shared" ref="A1870:A1933" si="67">"51"</f>
        <v>51</v>
      </c>
      <c r="B1870" t="str">
        <f>"51.00"</f>
        <v>51.00</v>
      </c>
      <c r="C1870" t="s">
        <v>8</v>
      </c>
      <c r="D1870" t="s">
        <v>12</v>
      </c>
      <c r="E1870" t="s">
        <v>4175</v>
      </c>
      <c r="F1870" t="s">
        <v>4176</v>
      </c>
    </row>
    <row r="1871" spans="1:8" x14ac:dyDescent="0.55000000000000004">
      <c r="A1871" t="str">
        <f t="shared" si="67"/>
        <v>51</v>
      </c>
      <c r="B1871" t="str">
        <f>"51.0000"</f>
        <v>51.0000</v>
      </c>
      <c r="C1871" t="s">
        <v>8</v>
      </c>
      <c r="D1871" t="s">
        <v>12</v>
      </c>
      <c r="E1871" t="s">
        <v>4175</v>
      </c>
      <c r="F1871" t="s">
        <v>4177</v>
      </c>
    </row>
    <row r="1872" spans="1:8" x14ac:dyDescent="0.55000000000000004">
      <c r="A1872" t="str">
        <f t="shared" si="67"/>
        <v>51</v>
      </c>
      <c r="B1872" t="str">
        <f>"51.0001"</f>
        <v>51.0001</v>
      </c>
      <c r="C1872" t="s">
        <v>8</v>
      </c>
      <c r="D1872" t="s">
        <v>12</v>
      </c>
      <c r="E1872" t="s">
        <v>4178</v>
      </c>
      <c r="F1872" t="s">
        <v>4179</v>
      </c>
      <c r="G1872" t="s">
        <v>4180</v>
      </c>
      <c r="H1872" t="s">
        <v>4181</v>
      </c>
    </row>
    <row r="1873" spans="1:8" x14ac:dyDescent="0.55000000000000004">
      <c r="A1873" t="str">
        <f t="shared" si="67"/>
        <v>51</v>
      </c>
      <c r="B1873" t="str">
        <f>"51.01"</f>
        <v>51.01</v>
      </c>
      <c r="C1873" t="s">
        <v>8</v>
      </c>
      <c r="D1873" t="s">
        <v>12</v>
      </c>
      <c r="E1873" t="s">
        <v>4182</v>
      </c>
      <c r="F1873" t="s">
        <v>4183</v>
      </c>
    </row>
    <row r="1874" spans="1:8" x14ac:dyDescent="0.55000000000000004">
      <c r="A1874" t="str">
        <f t="shared" si="67"/>
        <v>51</v>
      </c>
      <c r="B1874" t="str">
        <f>"51.0101"</f>
        <v>51.0101</v>
      </c>
      <c r="C1874" t="s">
        <v>8</v>
      </c>
      <c r="D1874" t="s">
        <v>12</v>
      </c>
      <c r="E1874" t="s">
        <v>4182</v>
      </c>
      <c r="F1874" t="s">
        <v>4184</v>
      </c>
      <c r="H1874" t="s">
        <v>4185</v>
      </c>
    </row>
    <row r="1875" spans="1:8" x14ac:dyDescent="0.55000000000000004">
      <c r="A1875" t="str">
        <f t="shared" si="67"/>
        <v>51</v>
      </c>
      <c r="B1875" t="str">
        <f>"51.02"</f>
        <v>51.02</v>
      </c>
      <c r="C1875" t="s">
        <v>8</v>
      </c>
      <c r="D1875" t="s">
        <v>12</v>
      </c>
      <c r="E1875" t="s">
        <v>4186</v>
      </c>
      <c r="F1875" t="s">
        <v>4187</v>
      </c>
    </row>
    <row r="1876" spans="1:8" x14ac:dyDescent="0.55000000000000004">
      <c r="A1876" t="str">
        <f t="shared" si="67"/>
        <v>51</v>
      </c>
      <c r="B1876" t="str">
        <f>"51.0201"</f>
        <v>51.0201</v>
      </c>
      <c r="C1876" t="s">
        <v>8</v>
      </c>
      <c r="D1876" t="s">
        <v>12</v>
      </c>
      <c r="E1876" t="s">
        <v>4188</v>
      </c>
      <c r="F1876" t="s">
        <v>4189</v>
      </c>
      <c r="H1876" t="s">
        <v>4190</v>
      </c>
    </row>
    <row r="1877" spans="1:8" x14ac:dyDescent="0.55000000000000004">
      <c r="A1877" t="str">
        <f t="shared" si="67"/>
        <v>51</v>
      </c>
      <c r="B1877" t="str">
        <f>"51.0202"</f>
        <v>51.0202</v>
      </c>
      <c r="C1877" t="s">
        <v>8</v>
      </c>
      <c r="D1877" t="s">
        <v>12</v>
      </c>
      <c r="E1877" t="s">
        <v>4191</v>
      </c>
      <c r="F1877" t="s">
        <v>4192</v>
      </c>
      <c r="H1877" t="s">
        <v>4193</v>
      </c>
    </row>
    <row r="1878" spans="1:8" x14ac:dyDescent="0.55000000000000004">
      <c r="A1878" t="str">
        <f t="shared" si="67"/>
        <v>51</v>
      </c>
      <c r="B1878" t="str">
        <f>"51.0203"</f>
        <v>51.0203</v>
      </c>
      <c r="C1878" t="s">
        <v>8</v>
      </c>
      <c r="D1878" t="s">
        <v>12</v>
      </c>
      <c r="E1878" t="s">
        <v>4194</v>
      </c>
      <c r="F1878" t="s">
        <v>4195</v>
      </c>
      <c r="G1878" t="s">
        <v>986</v>
      </c>
      <c r="H1878" t="s">
        <v>4196</v>
      </c>
    </row>
    <row r="1879" spans="1:8" x14ac:dyDescent="0.55000000000000004">
      <c r="A1879" t="str">
        <f t="shared" si="67"/>
        <v>51</v>
      </c>
      <c r="B1879" t="str">
        <f>"51.0204"</f>
        <v>51.0204</v>
      </c>
      <c r="C1879" t="s">
        <v>8</v>
      </c>
      <c r="D1879" t="s">
        <v>12</v>
      </c>
      <c r="E1879" t="s">
        <v>4197</v>
      </c>
      <c r="F1879" t="s">
        <v>4198</v>
      </c>
      <c r="G1879" t="s">
        <v>986</v>
      </c>
      <c r="H1879" t="s">
        <v>4199</v>
      </c>
    </row>
    <row r="1880" spans="1:8" x14ac:dyDescent="0.55000000000000004">
      <c r="A1880" t="str">
        <f t="shared" si="67"/>
        <v>51</v>
      </c>
      <c r="B1880" t="str">
        <f>"51.0299"</f>
        <v>51.0299</v>
      </c>
      <c r="C1880" t="s">
        <v>8</v>
      </c>
      <c r="D1880" t="s">
        <v>12</v>
      </c>
      <c r="E1880" t="s">
        <v>4200</v>
      </c>
      <c r="F1880" t="s">
        <v>4201</v>
      </c>
      <c r="G1880" t="s">
        <v>4202</v>
      </c>
      <c r="H1880" t="s">
        <v>4203</v>
      </c>
    </row>
    <row r="1881" spans="1:8" x14ac:dyDescent="0.55000000000000004">
      <c r="A1881" t="str">
        <f t="shared" si="67"/>
        <v>51</v>
      </c>
      <c r="B1881" t="str">
        <f>"51.04"</f>
        <v>51.04</v>
      </c>
      <c r="C1881" t="s">
        <v>8</v>
      </c>
      <c r="D1881" t="s">
        <v>12</v>
      </c>
      <c r="E1881" t="s">
        <v>4204</v>
      </c>
      <c r="F1881" t="s">
        <v>4205</v>
      </c>
    </row>
    <row r="1882" spans="1:8" x14ac:dyDescent="0.55000000000000004">
      <c r="A1882" t="str">
        <f t="shared" si="67"/>
        <v>51</v>
      </c>
      <c r="B1882" t="str">
        <f>"51.0401"</f>
        <v>51.0401</v>
      </c>
      <c r="C1882" t="s">
        <v>8</v>
      </c>
      <c r="D1882" t="s">
        <v>12</v>
      </c>
      <c r="E1882" t="s">
        <v>4204</v>
      </c>
      <c r="F1882" t="s">
        <v>4206</v>
      </c>
      <c r="H1882" t="s">
        <v>4207</v>
      </c>
    </row>
    <row r="1883" spans="1:8" x14ac:dyDescent="0.55000000000000004">
      <c r="A1883" t="str">
        <f t="shared" si="67"/>
        <v>51</v>
      </c>
      <c r="B1883" t="str">
        <f>"51.05"</f>
        <v>51.05</v>
      </c>
      <c r="C1883" t="s">
        <v>8</v>
      </c>
      <c r="D1883" t="s">
        <v>12</v>
      </c>
      <c r="E1883" t="s">
        <v>4208</v>
      </c>
      <c r="F1883" t="s">
        <v>4209</v>
      </c>
    </row>
    <row r="1884" spans="1:8" x14ac:dyDescent="0.55000000000000004">
      <c r="A1884" t="str">
        <f t="shared" si="67"/>
        <v>51</v>
      </c>
      <c r="B1884" t="str">
        <f>"51.0501"</f>
        <v>51.0501</v>
      </c>
      <c r="C1884" t="s">
        <v>8</v>
      </c>
      <c r="D1884" t="s">
        <v>12</v>
      </c>
      <c r="E1884" t="s">
        <v>4210</v>
      </c>
      <c r="F1884" t="s">
        <v>4211</v>
      </c>
      <c r="H1884" t="s">
        <v>4212</v>
      </c>
    </row>
    <row r="1885" spans="1:8" x14ac:dyDescent="0.55000000000000004">
      <c r="A1885" t="str">
        <f t="shared" si="67"/>
        <v>51</v>
      </c>
      <c r="B1885" t="str">
        <f>"51.0502"</f>
        <v>51.0502</v>
      </c>
      <c r="C1885" t="s">
        <v>8</v>
      </c>
      <c r="D1885" t="s">
        <v>12</v>
      </c>
      <c r="E1885" t="s">
        <v>4213</v>
      </c>
      <c r="F1885" t="s">
        <v>4214</v>
      </c>
      <c r="H1885" t="s">
        <v>4215</v>
      </c>
    </row>
    <row r="1886" spans="1:8" x14ac:dyDescent="0.55000000000000004">
      <c r="A1886" t="str">
        <f t="shared" si="67"/>
        <v>51</v>
      </c>
      <c r="B1886" t="str">
        <f>"51.0503"</f>
        <v>51.0503</v>
      </c>
      <c r="C1886" t="s">
        <v>8</v>
      </c>
      <c r="D1886" t="s">
        <v>12</v>
      </c>
      <c r="E1886" t="s">
        <v>4216</v>
      </c>
      <c r="F1886" t="s">
        <v>4217</v>
      </c>
      <c r="H1886" t="s">
        <v>4218</v>
      </c>
    </row>
    <row r="1887" spans="1:8" x14ac:dyDescent="0.55000000000000004">
      <c r="A1887" t="str">
        <f t="shared" si="67"/>
        <v>51</v>
      </c>
      <c r="B1887" t="str">
        <f>"51.0504"</f>
        <v>51.0504</v>
      </c>
      <c r="C1887" t="s">
        <v>8</v>
      </c>
      <c r="D1887" t="s">
        <v>12</v>
      </c>
      <c r="E1887" t="s">
        <v>4219</v>
      </c>
      <c r="F1887" t="s">
        <v>4220</v>
      </c>
      <c r="H1887" t="s">
        <v>4221</v>
      </c>
    </row>
    <row r="1888" spans="1:8" x14ac:dyDescent="0.55000000000000004">
      <c r="A1888" t="str">
        <f t="shared" si="67"/>
        <v>51</v>
      </c>
      <c r="B1888" t="str">
        <f>"51.0505"</f>
        <v>51.0505</v>
      </c>
      <c r="C1888" t="s">
        <v>8</v>
      </c>
      <c r="D1888" t="s">
        <v>12</v>
      </c>
      <c r="E1888" t="s">
        <v>4222</v>
      </c>
      <c r="F1888" t="s">
        <v>4223</v>
      </c>
      <c r="H1888" t="s">
        <v>4224</v>
      </c>
    </row>
    <row r="1889" spans="1:8" x14ac:dyDescent="0.55000000000000004">
      <c r="A1889" t="str">
        <f t="shared" si="67"/>
        <v>51</v>
      </c>
      <c r="B1889" t="str">
        <f>"51.0506"</f>
        <v>51.0506</v>
      </c>
      <c r="C1889" t="s">
        <v>8</v>
      </c>
      <c r="D1889" t="s">
        <v>12</v>
      </c>
      <c r="E1889" t="s">
        <v>4225</v>
      </c>
      <c r="F1889" t="s">
        <v>4226</v>
      </c>
      <c r="H1889" t="s">
        <v>4227</v>
      </c>
    </row>
    <row r="1890" spans="1:8" x14ac:dyDescent="0.55000000000000004">
      <c r="A1890" t="str">
        <f t="shared" si="67"/>
        <v>51</v>
      </c>
      <c r="B1890" t="str">
        <f>"51.0507"</f>
        <v>51.0507</v>
      </c>
      <c r="C1890" t="s">
        <v>8</v>
      </c>
      <c r="D1890" t="s">
        <v>12</v>
      </c>
      <c r="E1890" t="s">
        <v>4228</v>
      </c>
      <c r="F1890" t="s">
        <v>4229</v>
      </c>
      <c r="H1890" t="s">
        <v>4230</v>
      </c>
    </row>
    <row r="1891" spans="1:8" x14ac:dyDescent="0.55000000000000004">
      <c r="A1891" t="str">
        <f t="shared" si="67"/>
        <v>51</v>
      </c>
      <c r="B1891" t="str">
        <f>"51.0508"</f>
        <v>51.0508</v>
      </c>
      <c r="C1891" t="s">
        <v>8</v>
      </c>
      <c r="D1891" t="s">
        <v>12</v>
      </c>
      <c r="E1891" t="s">
        <v>4231</v>
      </c>
      <c r="F1891" t="s">
        <v>4232</v>
      </c>
      <c r="H1891" t="s">
        <v>4233</v>
      </c>
    </row>
    <row r="1892" spans="1:8" x14ac:dyDescent="0.55000000000000004">
      <c r="A1892" t="str">
        <f t="shared" si="67"/>
        <v>51</v>
      </c>
      <c r="B1892" t="str">
        <f>"51.0509"</f>
        <v>51.0509</v>
      </c>
      <c r="C1892" t="s">
        <v>8</v>
      </c>
      <c r="D1892" t="s">
        <v>12</v>
      </c>
      <c r="E1892" t="s">
        <v>4234</v>
      </c>
      <c r="F1892" t="s">
        <v>4235</v>
      </c>
      <c r="H1892" t="s">
        <v>4236</v>
      </c>
    </row>
    <row r="1893" spans="1:8" x14ac:dyDescent="0.55000000000000004">
      <c r="A1893" t="str">
        <f t="shared" si="67"/>
        <v>51</v>
      </c>
      <c r="B1893" t="str">
        <f>"51.0510"</f>
        <v>51.0510</v>
      </c>
      <c r="C1893" t="s">
        <v>8</v>
      </c>
      <c r="D1893" t="s">
        <v>12</v>
      </c>
      <c r="E1893" t="s">
        <v>4237</v>
      </c>
      <c r="F1893" t="s">
        <v>4238</v>
      </c>
      <c r="H1893" t="s">
        <v>4239</v>
      </c>
    </row>
    <row r="1894" spans="1:8" x14ac:dyDescent="0.55000000000000004">
      <c r="A1894" t="str">
        <f t="shared" si="67"/>
        <v>51</v>
      </c>
      <c r="B1894" t="str">
        <f>"51.0511"</f>
        <v>51.0511</v>
      </c>
      <c r="C1894" t="s">
        <v>8</v>
      </c>
      <c r="D1894" t="s">
        <v>12</v>
      </c>
      <c r="E1894" t="s">
        <v>4240</v>
      </c>
      <c r="F1894" t="s">
        <v>4241</v>
      </c>
      <c r="H1894" t="s">
        <v>4242</v>
      </c>
    </row>
    <row r="1895" spans="1:8" x14ac:dyDescent="0.55000000000000004">
      <c r="A1895" t="str">
        <f t="shared" si="67"/>
        <v>51</v>
      </c>
      <c r="B1895" t="str">
        <f>"51.0512"</f>
        <v>51.0512</v>
      </c>
      <c r="C1895" t="s">
        <v>47</v>
      </c>
      <c r="D1895" t="s">
        <v>12</v>
      </c>
      <c r="E1895" t="s">
        <v>4243</v>
      </c>
      <c r="F1895" t="s">
        <v>4244</v>
      </c>
    </row>
    <row r="1896" spans="1:8" x14ac:dyDescent="0.55000000000000004">
      <c r="A1896" t="str">
        <f t="shared" si="67"/>
        <v>51</v>
      </c>
      <c r="B1896" t="str">
        <f>"51.0513"</f>
        <v>51.0513</v>
      </c>
      <c r="C1896" t="s">
        <v>47</v>
      </c>
      <c r="D1896" t="s">
        <v>12</v>
      </c>
      <c r="E1896" t="s">
        <v>4245</v>
      </c>
      <c r="F1896" t="s">
        <v>4246</v>
      </c>
    </row>
    <row r="1897" spans="1:8" x14ac:dyDescent="0.55000000000000004">
      <c r="A1897" t="str">
        <f t="shared" si="67"/>
        <v>51</v>
      </c>
      <c r="B1897" t="str">
        <f>"51.0514"</f>
        <v>51.0514</v>
      </c>
      <c r="C1897" t="s">
        <v>47</v>
      </c>
      <c r="D1897" t="s">
        <v>12</v>
      </c>
      <c r="E1897" t="s">
        <v>4247</v>
      </c>
      <c r="F1897" t="s">
        <v>4248</v>
      </c>
    </row>
    <row r="1898" spans="1:8" x14ac:dyDescent="0.55000000000000004">
      <c r="A1898" t="str">
        <f t="shared" si="67"/>
        <v>51</v>
      </c>
      <c r="B1898" t="str">
        <f>"51.0599"</f>
        <v>51.0599</v>
      </c>
      <c r="C1898" t="s">
        <v>8</v>
      </c>
      <c r="D1898" t="s">
        <v>12</v>
      </c>
      <c r="E1898" t="s">
        <v>4249</v>
      </c>
      <c r="F1898" t="s">
        <v>4250</v>
      </c>
    </row>
    <row r="1899" spans="1:8" x14ac:dyDescent="0.55000000000000004">
      <c r="A1899" t="str">
        <f t="shared" si="67"/>
        <v>51</v>
      </c>
      <c r="B1899" t="str">
        <f>"51.06"</f>
        <v>51.06</v>
      </c>
      <c r="C1899" t="s">
        <v>8</v>
      </c>
      <c r="D1899" t="s">
        <v>12</v>
      </c>
      <c r="E1899" t="s">
        <v>4251</v>
      </c>
      <c r="F1899" t="s">
        <v>4252</v>
      </c>
    </row>
    <row r="1900" spans="1:8" x14ac:dyDescent="0.55000000000000004">
      <c r="A1900" t="str">
        <f t="shared" si="67"/>
        <v>51</v>
      </c>
      <c r="B1900" t="str">
        <f>"51.0601"</f>
        <v>51.0601</v>
      </c>
      <c r="C1900" t="s">
        <v>8</v>
      </c>
      <c r="D1900" t="s">
        <v>12</v>
      </c>
      <c r="E1900" t="s">
        <v>4253</v>
      </c>
      <c r="F1900" t="s">
        <v>4254</v>
      </c>
    </row>
    <row r="1901" spans="1:8" x14ac:dyDescent="0.55000000000000004">
      <c r="A1901" t="str">
        <f t="shared" si="67"/>
        <v>51</v>
      </c>
      <c r="B1901" t="str">
        <f>"51.0602"</f>
        <v>51.0602</v>
      </c>
      <c r="C1901" t="s">
        <v>8</v>
      </c>
      <c r="D1901" t="s">
        <v>12</v>
      </c>
      <c r="E1901" t="s">
        <v>4255</v>
      </c>
      <c r="F1901" t="s">
        <v>4256</v>
      </c>
    </row>
    <row r="1902" spans="1:8" x14ac:dyDescent="0.55000000000000004">
      <c r="A1902" t="str">
        <f t="shared" si="67"/>
        <v>51</v>
      </c>
      <c r="B1902" t="str">
        <f>"51.0603"</f>
        <v>51.0603</v>
      </c>
      <c r="C1902" t="s">
        <v>8</v>
      </c>
      <c r="D1902" t="s">
        <v>12</v>
      </c>
      <c r="E1902" t="s">
        <v>4257</v>
      </c>
      <c r="F1902" t="s">
        <v>4258</v>
      </c>
    </row>
    <row r="1903" spans="1:8" x14ac:dyDescent="0.55000000000000004">
      <c r="A1903" t="str">
        <f t="shared" si="67"/>
        <v>51</v>
      </c>
      <c r="B1903" t="str">
        <f>"51.0699"</f>
        <v>51.0699</v>
      </c>
      <c r="C1903" t="s">
        <v>8</v>
      </c>
      <c r="D1903" t="s">
        <v>12</v>
      </c>
      <c r="E1903" t="s">
        <v>4259</v>
      </c>
      <c r="F1903" t="s">
        <v>4260</v>
      </c>
    </row>
    <row r="1904" spans="1:8" x14ac:dyDescent="0.55000000000000004">
      <c r="A1904" t="str">
        <f t="shared" si="67"/>
        <v>51</v>
      </c>
      <c r="B1904" t="str">
        <f>"51.07"</f>
        <v>51.07</v>
      </c>
      <c r="C1904" t="s">
        <v>8</v>
      </c>
      <c r="D1904" t="s">
        <v>12</v>
      </c>
      <c r="E1904" t="s">
        <v>4261</v>
      </c>
      <c r="F1904" t="s">
        <v>4262</v>
      </c>
    </row>
    <row r="1905" spans="1:8" x14ac:dyDescent="0.55000000000000004">
      <c r="A1905" t="str">
        <f t="shared" si="67"/>
        <v>51</v>
      </c>
      <c r="B1905" t="str">
        <f>"51.0701"</f>
        <v>51.0701</v>
      </c>
      <c r="C1905" t="s">
        <v>8</v>
      </c>
      <c r="D1905" t="s">
        <v>12</v>
      </c>
      <c r="E1905" t="s">
        <v>4263</v>
      </c>
      <c r="F1905" t="s">
        <v>4264</v>
      </c>
    </row>
    <row r="1906" spans="1:8" x14ac:dyDescent="0.55000000000000004">
      <c r="A1906" t="str">
        <f t="shared" si="67"/>
        <v>51</v>
      </c>
      <c r="B1906" t="str">
        <f>"51.0702"</f>
        <v>51.0702</v>
      </c>
      <c r="C1906" t="s">
        <v>8</v>
      </c>
      <c r="D1906" t="s">
        <v>12</v>
      </c>
      <c r="E1906" t="s">
        <v>4265</v>
      </c>
      <c r="F1906" t="s">
        <v>4266</v>
      </c>
    </row>
    <row r="1907" spans="1:8" x14ac:dyDescent="0.55000000000000004">
      <c r="A1907" t="str">
        <f t="shared" si="67"/>
        <v>51</v>
      </c>
      <c r="B1907" t="str">
        <f>"51.0703"</f>
        <v>51.0703</v>
      </c>
      <c r="C1907" t="s">
        <v>8</v>
      </c>
      <c r="D1907" t="s">
        <v>12</v>
      </c>
      <c r="E1907" t="s">
        <v>4267</v>
      </c>
      <c r="F1907" t="s">
        <v>4268</v>
      </c>
    </row>
    <row r="1908" spans="1:8" x14ac:dyDescent="0.55000000000000004">
      <c r="A1908" t="str">
        <f t="shared" si="67"/>
        <v>51</v>
      </c>
      <c r="B1908" t="str">
        <f>"51.0704"</f>
        <v>51.0704</v>
      </c>
      <c r="C1908" t="s">
        <v>8</v>
      </c>
      <c r="D1908" t="s">
        <v>12</v>
      </c>
      <c r="E1908" t="s">
        <v>4269</v>
      </c>
      <c r="F1908" t="s">
        <v>4270</v>
      </c>
    </row>
    <row r="1909" spans="1:8" x14ac:dyDescent="0.55000000000000004">
      <c r="A1909" t="str">
        <f t="shared" si="67"/>
        <v>51</v>
      </c>
      <c r="B1909" t="str">
        <f>"51.0705"</f>
        <v>51.0705</v>
      </c>
      <c r="C1909" t="s">
        <v>8</v>
      </c>
      <c r="D1909" t="s">
        <v>12</v>
      </c>
      <c r="E1909" t="s">
        <v>4271</v>
      </c>
      <c r="F1909" t="s">
        <v>4272</v>
      </c>
    </row>
    <row r="1910" spans="1:8" x14ac:dyDescent="0.55000000000000004">
      <c r="A1910" t="str">
        <f t="shared" si="67"/>
        <v>51</v>
      </c>
      <c r="B1910" t="str">
        <f>"51.0706"</f>
        <v>51.0706</v>
      </c>
      <c r="C1910" t="s">
        <v>8</v>
      </c>
      <c r="D1910" t="s">
        <v>12</v>
      </c>
      <c r="E1910" t="s">
        <v>4273</v>
      </c>
      <c r="F1910" t="s">
        <v>4274</v>
      </c>
    </row>
    <row r="1911" spans="1:8" x14ac:dyDescent="0.55000000000000004">
      <c r="A1911" t="str">
        <f t="shared" si="67"/>
        <v>51</v>
      </c>
      <c r="B1911" t="str">
        <f>"51.0707"</f>
        <v>51.0707</v>
      </c>
      <c r="C1911" t="s">
        <v>8</v>
      </c>
      <c r="D1911" t="s">
        <v>12</v>
      </c>
      <c r="E1911" t="s">
        <v>4275</v>
      </c>
      <c r="F1911" t="s">
        <v>4276</v>
      </c>
    </row>
    <row r="1912" spans="1:8" x14ac:dyDescent="0.55000000000000004">
      <c r="A1912" t="str">
        <f t="shared" si="67"/>
        <v>51</v>
      </c>
      <c r="B1912" t="str">
        <f>"51.0708"</f>
        <v>51.0708</v>
      </c>
      <c r="C1912" t="s">
        <v>8</v>
      </c>
      <c r="D1912" t="s">
        <v>12</v>
      </c>
      <c r="E1912" t="s">
        <v>4277</v>
      </c>
      <c r="F1912" t="s">
        <v>4278</v>
      </c>
      <c r="G1912" t="s">
        <v>4279</v>
      </c>
    </row>
    <row r="1913" spans="1:8" x14ac:dyDescent="0.55000000000000004">
      <c r="A1913" t="str">
        <f t="shared" si="67"/>
        <v>51</v>
      </c>
      <c r="B1913" t="str">
        <f>"51.0709"</f>
        <v>51.0709</v>
      </c>
      <c r="C1913" t="s">
        <v>8</v>
      </c>
      <c r="D1913" t="s">
        <v>12</v>
      </c>
      <c r="E1913" t="s">
        <v>4280</v>
      </c>
      <c r="F1913" t="s">
        <v>4281</v>
      </c>
    </row>
    <row r="1914" spans="1:8" x14ac:dyDescent="0.55000000000000004">
      <c r="A1914" t="str">
        <f t="shared" si="67"/>
        <v>51</v>
      </c>
      <c r="B1914" t="str">
        <f>"51.0710"</f>
        <v>51.0710</v>
      </c>
      <c r="C1914" t="s">
        <v>8</v>
      </c>
      <c r="D1914" t="s">
        <v>12</v>
      </c>
      <c r="E1914" t="s">
        <v>4282</v>
      </c>
      <c r="F1914" t="s">
        <v>4283</v>
      </c>
    </row>
    <row r="1915" spans="1:8" x14ac:dyDescent="0.55000000000000004">
      <c r="A1915" t="str">
        <f t="shared" si="67"/>
        <v>51</v>
      </c>
      <c r="B1915" t="str">
        <f>"51.0711"</f>
        <v>51.0711</v>
      </c>
      <c r="C1915" t="s">
        <v>8</v>
      </c>
      <c r="D1915" t="s">
        <v>12</v>
      </c>
      <c r="E1915" t="s">
        <v>4284</v>
      </c>
      <c r="F1915" t="s">
        <v>4285</v>
      </c>
    </row>
    <row r="1916" spans="1:8" x14ac:dyDescent="0.55000000000000004">
      <c r="A1916" t="str">
        <f t="shared" si="67"/>
        <v>51</v>
      </c>
      <c r="B1916" t="str">
        <f>"51.0712"</f>
        <v>51.0712</v>
      </c>
      <c r="C1916" t="s">
        <v>8</v>
      </c>
      <c r="D1916" t="s">
        <v>12</v>
      </c>
      <c r="E1916" t="s">
        <v>4286</v>
      </c>
      <c r="F1916" t="s">
        <v>4287</v>
      </c>
    </row>
    <row r="1917" spans="1:8" x14ac:dyDescent="0.55000000000000004">
      <c r="A1917" t="str">
        <f t="shared" si="67"/>
        <v>51</v>
      </c>
      <c r="B1917" t="str">
        <f>"51.0713"</f>
        <v>51.0713</v>
      </c>
      <c r="C1917" t="s">
        <v>8</v>
      </c>
      <c r="D1917" t="s">
        <v>12</v>
      </c>
      <c r="E1917" t="s">
        <v>4288</v>
      </c>
      <c r="F1917" t="s">
        <v>4289</v>
      </c>
    </row>
    <row r="1918" spans="1:8" x14ac:dyDescent="0.55000000000000004">
      <c r="A1918" t="str">
        <f t="shared" si="67"/>
        <v>51</v>
      </c>
      <c r="B1918" t="str">
        <f>"51.0714"</f>
        <v>51.0714</v>
      </c>
      <c r="C1918" t="s">
        <v>8</v>
      </c>
      <c r="D1918" t="s">
        <v>12</v>
      </c>
      <c r="E1918" t="s">
        <v>4290</v>
      </c>
      <c r="F1918" t="s">
        <v>4291</v>
      </c>
    </row>
    <row r="1919" spans="1:8" x14ac:dyDescent="0.55000000000000004">
      <c r="A1919" t="str">
        <f t="shared" si="67"/>
        <v>51</v>
      </c>
      <c r="B1919" t="str">
        <f>"51.0715"</f>
        <v>51.0715</v>
      </c>
      <c r="C1919" t="s">
        <v>8</v>
      </c>
      <c r="D1919" t="s">
        <v>12</v>
      </c>
      <c r="E1919" t="s">
        <v>4292</v>
      </c>
      <c r="F1919" t="s">
        <v>4293</v>
      </c>
    </row>
    <row r="1920" spans="1:8" x14ac:dyDescent="0.55000000000000004">
      <c r="A1920" t="str">
        <f t="shared" si="67"/>
        <v>51</v>
      </c>
      <c r="B1920" t="str">
        <f>"51.0716"</f>
        <v>51.0716</v>
      </c>
      <c r="C1920" t="s">
        <v>8</v>
      </c>
      <c r="D1920" t="s">
        <v>12</v>
      </c>
      <c r="E1920" t="s">
        <v>4294</v>
      </c>
      <c r="F1920" t="s">
        <v>4295</v>
      </c>
      <c r="H1920" t="s">
        <v>4296</v>
      </c>
    </row>
    <row r="1921" spans="1:8" x14ac:dyDescent="0.55000000000000004">
      <c r="A1921" t="str">
        <f t="shared" si="67"/>
        <v>51</v>
      </c>
      <c r="B1921" t="str">
        <f>"51.0717"</f>
        <v>51.0717</v>
      </c>
      <c r="C1921" t="s">
        <v>8</v>
      </c>
      <c r="D1921" t="s">
        <v>12</v>
      </c>
      <c r="E1921" t="s">
        <v>4297</v>
      </c>
      <c r="F1921" t="s">
        <v>4298</v>
      </c>
    </row>
    <row r="1922" spans="1:8" x14ac:dyDescent="0.55000000000000004">
      <c r="A1922" t="str">
        <f t="shared" si="67"/>
        <v>51</v>
      </c>
      <c r="B1922" t="str">
        <f>"51.0718"</f>
        <v>51.0718</v>
      </c>
      <c r="C1922" t="s">
        <v>8</v>
      </c>
      <c r="D1922" t="s">
        <v>12</v>
      </c>
      <c r="E1922" t="s">
        <v>4299</v>
      </c>
      <c r="F1922" t="s">
        <v>4300</v>
      </c>
      <c r="H1922" t="s">
        <v>4301</v>
      </c>
    </row>
    <row r="1923" spans="1:8" x14ac:dyDescent="0.55000000000000004">
      <c r="A1923" t="str">
        <f t="shared" si="67"/>
        <v>51</v>
      </c>
      <c r="B1923" t="str">
        <f>"51.0719"</f>
        <v>51.0719</v>
      </c>
      <c r="C1923" t="s">
        <v>8</v>
      </c>
      <c r="D1923" t="s">
        <v>12</v>
      </c>
      <c r="E1923" t="s">
        <v>4302</v>
      </c>
      <c r="F1923" t="s">
        <v>4303</v>
      </c>
      <c r="G1923" t="s">
        <v>4304</v>
      </c>
      <c r="H1923" t="s">
        <v>4305</v>
      </c>
    </row>
    <row r="1924" spans="1:8" x14ac:dyDescent="0.55000000000000004">
      <c r="A1924" t="str">
        <f t="shared" si="67"/>
        <v>51</v>
      </c>
      <c r="B1924" t="str">
        <f>"51.0720"</f>
        <v>51.0720</v>
      </c>
      <c r="C1924" t="s">
        <v>47</v>
      </c>
      <c r="D1924" t="s">
        <v>12</v>
      </c>
      <c r="E1924" t="s">
        <v>4306</v>
      </c>
      <c r="F1924" t="s">
        <v>4307</v>
      </c>
      <c r="G1924" t="s">
        <v>4308</v>
      </c>
    </row>
    <row r="1925" spans="1:8" x14ac:dyDescent="0.55000000000000004">
      <c r="A1925" t="str">
        <f t="shared" si="67"/>
        <v>51</v>
      </c>
      <c r="B1925" t="str">
        <f>"51.0721"</f>
        <v>51.0721</v>
      </c>
      <c r="C1925" t="s">
        <v>47</v>
      </c>
      <c r="D1925" t="s">
        <v>12</v>
      </c>
      <c r="E1925" t="s">
        <v>4309</v>
      </c>
      <c r="F1925" t="s">
        <v>4310</v>
      </c>
      <c r="H1925" t="s">
        <v>4311</v>
      </c>
    </row>
    <row r="1926" spans="1:8" x14ac:dyDescent="0.55000000000000004">
      <c r="A1926" t="str">
        <f t="shared" si="67"/>
        <v>51</v>
      </c>
      <c r="B1926" t="str">
        <f>"51.0722"</f>
        <v>51.0722</v>
      </c>
      <c r="C1926" t="s">
        <v>47</v>
      </c>
      <c r="D1926" t="s">
        <v>12</v>
      </c>
      <c r="E1926" t="s">
        <v>4312</v>
      </c>
      <c r="F1926" t="s">
        <v>4313</v>
      </c>
    </row>
    <row r="1927" spans="1:8" x14ac:dyDescent="0.55000000000000004">
      <c r="A1927" t="str">
        <f t="shared" si="67"/>
        <v>51</v>
      </c>
      <c r="B1927" t="str">
        <f>"51.0723"</f>
        <v>51.0723</v>
      </c>
      <c r="C1927" t="s">
        <v>47</v>
      </c>
      <c r="D1927" t="s">
        <v>12</v>
      </c>
      <c r="E1927" t="s">
        <v>4314</v>
      </c>
      <c r="F1927" t="s">
        <v>4315</v>
      </c>
      <c r="H1927" t="s">
        <v>4316</v>
      </c>
    </row>
    <row r="1928" spans="1:8" x14ac:dyDescent="0.55000000000000004">
      <c r="A1928" t="str">
        <f t="shared" si="67"/>
        <v>51</v>
      </c>
      <c r="B1928" t="str">
        <f>"51.0799"</f>
        <v>51.0799</v>
      </c>
      <c r="C1928" t="s">
        <v>8</v>
      </c>
      <c r="D1928" t="s">
        <v>12</v>
      </c>
      <c r="E1928" t="s">
        <v>4317</v>
      </c>
      <c r="F1928" t="s">
        <v>4318</v>
      </c>
    </row>
    <row r="1929" spans="1:8" x14ac:dyDescent="0.55000000000000004">
      <c r="A1929" t="str">
        <f t="shared" si="67"/>
        <v>51</v>
      </c>
      <c r="B1929" t="str">
        <f>"51.08"</f>
        <v>51.08</v>
      </c>
      <c r="C1929" t="s">
        <v>8</v>
      </c>
      <c r="D1929" t="s">
        <v>12</v>
      </c>
      <c r="E1929" t="s">
        <v>4319</v>
      </c>
      <c r="F1929" t="s">
        <v>4320</v>
      </c>
    </row>
    <row r="1930" spans="1:8" x14ac:dyDescent="0.55000000000000004">
      <c r="A1930" t="str">
        <f t="shared" si="67"/>
        <v>51</v>
      </c>
      <c r="B1930" t="str">
        <f>"51.0801"</f>
        <v>51.0801</v>
      </c>
      <c r="C1930" t="s">
        <v>8</v>
      </c>
      <c r="D1930" t="s">
        <v>12</v>
      </c>
      <c r="E1930" t="s">
        <v>4321</v>
      </c>
      <c r="F1930" t="s">
        <v>4322</v>
      </c>
    </row>
    <row r="1931" spans="1:8" x14ac:dyDescent="0.55000000000000004">
      <c r="A1931" t="str">
        <f t="shared" si="67"/>
        <v>51</v>
      </c>
      <c r="B1931" t="str">
        <f>"51.0802"</f>
        <v>51.0802</v>
      </c>
      <c r="C1931" t="s">
        <v>8</v>
      </c>
      <c r="D1931" t="s">
        <v>12</v>
      </c>
      <c r="E1931" t="s">
        <v>4323</v>
      </c>
      <c r="F1931" t="s">
        <v>4324</v>
      </c>
      <c r="G1931" t="s">
        <v>3260</v>
      </c>
    </row>
    <row r="1932" spans="1:8" x14ac:dyDescent="0.55000000000000004">
      <c r="A1932" t="str">
        <f t="shared" si="67"/>
        <v>51</v>
      </c>
      <c r="B1932" t="str">
        <f>"51.0803"</f>
        <v>51.0803</v>
      </c>
      <c r="C1932" t="s">
        <v>8</v>
      </c>
      <c r="D1932" t="s">
        <v>12</v>
      </c>
      <c r="E1932" t="s">
        <v>4325</v>
      </c>
      <c r="F1932" t="s">
        <v>4326</v>
      </c>
    </row>
    <row r="1933" spans="1:8" x14ac:dyDescent="0.55000000000000004">
      <c r="A1933" t="str">
        <f t="shared" si="67"/>
        <v>51</v>
      </c>
      <c r="B1933" t="str">
        <f>"51.0805"</f>
        <v>51.0805</v>
      </c>
      <c r="C1933" t="s">
        <v>8</v>
      </c>
      <c r="D1933" t="s">
        <v>12</v>
      </c>
      <c r="E1933" t="s">
        <v>4327</v>
      </c>
      <c r="F1933" t="s">
        <v>4328</v>
      </c>
    </row>
    <row r="1934" spans="1:8" x14ac:dyDescent="0.55000000000000004">
      <c r="A1934" t="str">
        <f t="shared" ref="A1934:A1997" si="68">"51"</f>
        <v>51</v>
      </c>
      <c r="B1934" t="str">
        <f>"51.0806"</f>
        <v>51.0806</v>
      </c>
      <c r="C1934" t="s">
        <v>8</v>
      </c>
      <c r="D1934" t="s">
        <v>9</v>
      </c>
      <c r="E1934" t="s">
        <v>4329</v>
      </c>
      <c r="F1934" t="s">
        <v>4330</v>
      </c>
    </row>
    <row r="1935" spans="1:8" x14ac:dyDescent="0.55000000000000004">
      <c r="A1935" t="str">
        <f t="shared" si="68"/>
        <v>51</v>
      </c>
      <c r="B1935" t="str">
        <f>"51.0808"</f>
        <v>51.0808</v>
      </c>
      <c r="C1935" t="s">
        <v>70</v>
      </c>
      <c r="D1935" t="s">
        <v>12</v>
      </c>
      <c r="E1935" t="s">
        <v>276</v>
      </c>
      <c r="F1935" t="s">
        <v>4331</v>
      </c>
    </row>
    <row r="1936" spans="1:8" x14ac:dyDescent="0.55000000000000004">
      <c r="A1936" t="str">
        <f t="shared" si="68"/>
        <v>51</v>
      </c>
      <c r="B1936" t="str">
        <f>"51.0809"</f>
        <v>51.0809</v>
      </c>
      <c r="C1936" t="s">
        <v>8</v>
      </c>
      <c r="D1936" t="s">
        <v>12</v>
      </c>
      <c r="E1936" t="s">
        <v>4332</v>
      </c>
      <c r="F1936" t="s">
        <v>4333</v>
      </c>
    </row>
    <row r="1937" spans="1:8" x14ac:dyDescent="0.55000000000000004">
      <c r="A1937" t="str">
        <f t="shared" si="68"/>
        <v>51</v>
      </c>
      <c r="B1937" t="str">
        <f>"51.0810"</f>
        <v>51.0810</v>
      </c>
      <c r="C1937" t="s">
        <v>8</v>
      </c>
      <c r="D1937" t="s">
        <v>12</v>
      </c>
      <c r="E1937" t="s">
        <v>4334</v>
      </c>
      <c r="F1937" t="s">
        <v>4335</v>
      </c>
      <c r="G1937" t="s">
        <v>4336</v>
      </c>
    </row>
    <row r="1938" spans="1:8" x14ac:dyDescent="0.55000000000000004">
      <c r="A1938" t="str">
        <f t="shared" si="68"/>
        <v>51</v>
      </c>
      <c r="B1938" t="str">
        <f>"51.0811"</f>
        <v>51.0811</v>
      </c>
      <c r="C1938" t="s">
        <v>8</v>
      </c>
      <c r="D1938" t="s">
        <v>12</v>
      </c>
      <c r="E1938" t="s">
        <v>4337</v>
      </c>
      <c r="F1938" t="s">
        <v>4338</v>
      </c>
    </row>
    <row r="1939" spans="1:8" x14ac:dyDescent="0.55000000000000004">
      <c r="A1939" t="str">
        <f t="shared" si="68"/>
        <v>51</v>
      </c>
      <c r="B1939" t="str">
        <f>"51.0812"</f>
        <v>51.0812</v>
      </c>
      <c r="C1939" t="s">
        <v>8</v>
      </c>
      <c r="D1939" t="s">
        <v>12</v>
      </c>
      <c r="E1939" t="s">
        <v>4339</v>
      </c>
      <c r="F1939" t="s">
        <v>4340</v>
      </c>
    </row>
    <row r="1940" spans="1:8" x14ac:dyDescent="0.55000000000000004">
      <c r="A1940" t="str">
        <f t="shared" si="68"/>
        <v>51</v>
      </c>
      <c r="B1940" t="str">
        <f>"51.0813"</f>
        <v>51.0813</v>
      </c>
      <c r="C1940" t="s">
        <v>8</v>
      </c>
      <c r="D1940" t="s">
        <v>12</v>
      </c>
      <c r="E1940" t="s">
        <v>4341</v>
      </c>
      <c r="F1940" t="s">
        <v>4342</v>
      </c>
    </row>
    <row r="1941" spans="1:8" x14ac:dyDescent="0.55000000000000004">
      <c r="A1941" t="str">
        <f t="shared" si="68"/>
        <v>51</v>
      </c>
      <c r="B1941" t="str">
        <f>"51.0814"</f>
        <v>51.0814</v>
      </c>
      <c r="C1941" t="s">
        <v>8</v>
      </c>
      <c r="D1941" t="s">
        <v>12</v>
      </c>
      <c r="E1941" t="s">
        <v>4343</v>
      </c>
      <c r="F1941" t="s">
        <v>4344</v>
      </c>
    </row>
    <row r="1942" spans="1:8" x14ac:dyDescent="0.55000000000000004">
      <c r="A1942" t="str">
        <f t="shared" si="68"/>
        <v>51</v>
      </c>
      <c r="B1942" t="str">
        <f>"51.0815"</f>
        <v>51.0815</v>
      </c>
      <c r="C1942" t="s">
        <v>8</v>
      </c>
      <c r="D1942" t="s">
        <v>12</v>
      </c>
      <c r="E1942" t="s">
        <v>4345</v>
      </c>
      <c r="F1942" t="s">
        <v>4346</v>
      </c>
      <c r="H1942" t="s">
        <v>4347</v>
      </c>
    </row>
    <row r="1943" spans="1:8" x14ac:dyDescent="0.55000000000000004">
      <c r="A1943" t="str">
        <f t="shared" si="68"/>
        <v>51</v>
      </c>
      <c r="B1943" t="str">
        <f>"51.0816"</f>
        <v>51.0816</v>
      </c>
      <c r="C1943" t="s">
        <v>8</v>
      </c>
      <c r="D1943" t="s">
        <v>12</v>
      </c>
      <c r="E1943" t="s">
        <v>4348</v>
      </c>
      <c r="F1943" t="s">
        <v>4349</v>
      </c>
      <c r="G1943" t="s">
        <v>4350</v>
      </c>
    </row>
    <row r="1944" spans="1:8" x14ac:dyDescent="0.55000000000000004">
      <c r="A1944" t="str">
        <f t="shared" si="68"/>
        <v>51</v>
      </c>
      <c r="B1944" t="str">
        <f>"51.0817"</f>
        <v>51.0817</v>
      </c>
      <c r="C1944" t="s">
        <v>47</v>
      </c>
      <c r="D1944" t="s">
        <v>12</v>
      </c>
      <c r="E1944" t="s">
        <v>82</v>
      </c>
      <c r="F1944" t="s">
        <v>83</v>
      </c>
    </row>
    <row r="1945" spans="1:8" x14ac:dyDescent="0.55000000000000004">
      <c r="A1945" t="str">
        <f t="shared" si="68"/>
        <v>51</v>
      </c>
      <c r="B1945" t="str">
        <f>"51.0899"</f>
        <v>51.0899</v>
      </c>
      <c r="C1945" t="s">
        <v>8</v>
      </c>
      <c r="D1945" t="s">
        <v>12</v>
      </c>
      <c r="E1945" t="s">
        <v>4351</v>
      </c>
      <c r="F1945" t="s">
        <v>4352</v>
      </c>
    </row>
    <row r="1946" spans="1:8" x14ac:dyDescent="0.55000000000000004">
      <c r="A1946" t="str">
        <f t="shared" si="68"/>
        <v>51</v>
      </c>
      <c r="B1946" t="str">
        <f>"51.09"</f>
        <v>51.09</v>
      </c>
      <c r="C1946" t="s">
        <v>8</v>
      </c>
      <c r="D1946" t="s">
        <v>12</v>
      </c>
      <c r="E1946" t="s">
        <v>4353</v>
      </c>
      <c r="F1946" t="s">
        <v>4354</v>
      </c>
    </row>
    <row r="1947" spans="1:8" x14ac:dyDescent="0.55000000000000004">
      <c r="A1947" t="str">
        <f t="shared" si="68"/>
        <v>51</v>
      </c>
      <c r="B1947" t="str">
        <f>"51.0901"</f>
        <v>51.0901</v>
      </c>
      <c r="C1947" t="s">
        <v>8</v>
      </c>
      <c r="D1947" t="s">
        <v>12</v>
      </c>
      <c r="E1947" t="s">
        <v>4355</v>
      </c>
      <c r="F1947" t="s">
        <v>4356</v>
      </c>
    </row>
    <row r="1948" spans="1:8" x14ac:dyDescent="0.55000000000000004">
      <c r="A1948" t="str">
        <f t="shared" si="68"/>
        <v>51</v>
      </c>
      <c r="B1948" t="str">
        <f>"51.0902"</f>
        <v>51.0902</v>
      </c>
      <c r="C1948" t="s">
        <v>8</v>
      </c>
      <c r="D1948" t="s">
        <v>12</v>
      </c>
      <c r="E1948" t="s">
        <v>4357</v>
      </c>
      <c r="F1948" t="s">
        <v>4358</v>
      </c>
    </row>
    <row r="1949" spans="1:8" x14ac:dyDescent="0.55000000000000004">
      <c r="A1949" t="str">
        <f t="shared" si="68"/>
        <v>51</v>
      </c>
      <c r="B1949" t="str">
        <f>"51.0903"</f>
        <v>51.0903</v>
      </c>
      <c r="C1949" t="s">
        <v>8</v>
      </c>
      <c r="D1949" t="s">
        <v>12</v>
      </c>
      <c r="E1949" t="s">
        <v>4359</v>
      </c>
      <c r="F1949" t="s">
        <v>4360</v>
      </c>
    </row>
    <row r="1950" spans="1:8" x14ac:dyDescent="0.55000000000000004">
      <c r="A1950" t="str">
        <f t="shared" si="68"/>
        <v>51</v>
      </c>
      <c r="B1950" t="str">
        <f>"51.0904"</f>
        <v>51.0904</v>
      </c>
      <c r="C1950" t="s">
        <v>8</v>
      </c>
      <c r="D1950" t="s">
        <v>12</v>
      </c>
      <c r="E1950" t="s">
        <v>4361</v>
      </c>
      <c r="F1950" t="s">
        <v>4362</v>
      </c>
      <c r="G1950" t="s">
        <v>4363</v>
      </c>
    </row>
    <row r="1951" spans="1:8" x14ac:dyDescent="0.55000000000000004">
      <c r="A1951" t="str">
        <f t="shared" si="68"/>
        <v>51</v>
      </c>
      <c r="B1951" t="str">
        <f>"51.0905"</f>
        <v>51.0905</v>
      </c>
      <c r="C1951" t="s">
        <v>8</v>
      </c>
      <c r="D1951" t="s">
        <v>12</v>
      </c>
      <c r="E1951" t="s">
        <v>4364</v>
      </c>
      <c r="F1951" t="s">
        <v>4365</v>
      </c>
    </row>
    <row r="1952" spans="1:8" x14ac:dyDescent="0.55000000000000004">
      <c r="A1952" t="str">
        <f t="shared" si="68"/>
        <v>51</v>
      </c>
      <c r="B1952" t="str">
        <f>"51.0906"</f>
        <v>51.0906</v>
      </c>
      <c r="C1952" t="s">
        <v>8</v>
      </c>
      <c r="D1952" t="s">
        <v>12</v>
      </c>
      <c r="E1952" t="s">
        <v>4366</v>
      </c>
      <c r="F1952" t="s">
        <v>4367</v>
      </c>
    </row>
    <row r="1953" spans="1:8" x14ac:dyDescent="0.55000000000000004">
      <c r="A1953" t="str">
        <f t="shared" si="68"/>
        <v>51</v>
      </c>
      <c r="B1953" t="str">
        <f>"51.0907"</f>
        <v>51.0907</v>
      </c>
      <c r="C1953" t="s">
        <v>8</v>
      </c>
      <c r="D1953" t="s">
        <v>12</v>
      </c>
      <c r="E1953" t="s">
        <v>4368</v>
      </c>
      <c r="F1953" t="s">
        <v>4369</v>
      </c>
    </row>
    <row r="1954" spans="1:8" x14ac:dyDescent="0.55000000000000004">
      <c r="A1954" t="str">
        <f t="shared" si="68"/>
        <v>51</v>
      </c>
      <c r="B1954" t="str">
        <f>"51.0908"</f>
        <v>51.0908</v>
      </c>
      <c r="C1954" t="s">
        <v>8</v>
      </c>
      <c r="D1954" t="s">
        <v>12</v>
      </c>
      <c r="E1954" t="s">
        <v>4370</v>
      </c>
      <c r="F1954" t="s">
        <v>4371</v>
      </c>
    </row>
    <row r="1955" spans="1:8" x14ac:dyDescent="0.55000000000000004">
      <c r="A1955" t="str">
        <f t="shared" si="68"/>
        <v>51</v>
      </c>
      <c r="B1955" t="str">
        <f>"51.0909"</f>
        <v>51.0909</v>
      </c>
      <c r="C1955" t="s">
        <v>8</v>
      </c>
      <c r="D1955" t="s">
        <v>12</v>
      </c>
      <c r="E1955" t="s">
        <v>4372</v>
      </c>
      <c r="F1955" t="s">
        <v>4373</v>
      </c>
      <c r="G1955" t="s">
        <v>4374</v>
      </c>
    </row>
    <row r="1956" spans="1:8" x14ac:dyDescent="0.55000000000000004">
      <c r="A1956" t="str">
        <f t="shared" si="68"/>
        <v>51</v>
      </c>
      <c r="B1956" t="str">
        <f>"51.0910"</f>
        <v>51.0910</v>
      </c>
      <c r="C1956" t="s">
        <v>8</v>
      </c>
      <c r="D1956" t="s">
        <v>12</v>
      </c>
      <c r="E1956" t="s">
        <v>4375</v>
      </c>
      <c r="F1956" t="s">
        <v>4376</v>
      </c>
      <c r="H1956" t="s">
        <v>4377</v>
      </c>
    </row>
    <row r="1957" spans="1:8" x14ac:dyDescent="0.55000000000000004">
      <c r="A1957" t="str">
        <f t="shared" si="68"/>
        <v>51</v>
      </c>
      <c r="B1957" t="str">
        <f>"51.0911"</f>
        <v>51.0911</v>
      </c>
      <c r="C1957" t="s">
        <v>8</v>
      </c>
      <c r="D1957" t="s">
        <v>12</v>
      </c>
      <c r="E1957" t="s">
        <v>4378</v>
      </c>
      <c r="F1957" t="s">
        <v>4379</v>
      </c>
    </row>
    <row r="1958" spans="1:8" x14ac:dyDescent="0.55000000000000004">
      <c r="A1958" t="str">
        <f t="shared" si="68"/>
        <v>51</v>
      </c>
      <c r="B1958" t="str">
        <f>"51.0912"</f>
        <v>51.0912</v>
      </c>
      <c r="C1958" t="s">
        <v>8</v>
      </c>
      <c r="D1958" t="s">
        <v>9</v>
      </c>
      <c r="E1958" t="s">
        <v>4380</v>
      </c>
      <c r="F1958" t="s">
        <v>4381</v>
      </c>
    </row>
    <row r="1959" spans="1:8" x14ac:dyDescent="0.55000000000000004">
      <c r="A1959" t="str">
        <f t="shared" si="68"/>
        <v>51</v>
      </c>
      <c r="B1959" t="str">
        <f>"51.0913"</f>
        <v>51.0913</v>
      </c>
      <c r="C1959" t="s">
        <v>8</v>
      </c>
      <c r="D1959" t="s">
        <v>12</v>
      </c>
      <c r="E1959" t="s">
        <v>4382</v>
      </c>
      <c r="F1959" t="s">
        <v>4383</v>
      </c>
      <c r="G1959" t="s">
        <v>4384</v>
      </c>
    </row>
    <row r="1960" spans="1:8" x14ac:dyDescent="0.55000000000000004">
      <c r="A1960" t="str">
        <f t="shared" si="68"/>
        <v>51</v>
      </c>
      <c r="B1960" t="str">
        <f>"51.0914"</f>
        <v>51.0914</v>
      </c>
      <c r="C1960" t="s">
        <v>8</v>
      </c>
      <c r="D1960" t="s">
        <v>12</v>
      </c>
      <c r="E1960" t="s">
        <v>4385</v>
      </c>
      <c r="F1960" t="s">
        <v>4386</v>
      </c>
      <c r="G1960" t="s">
        <v>4387</v>
      </c>
    </row>
    <row r="1961" spans="1:8" x14ac:dyDescent="0.55000000000000004">
      <c r="A1961" t="str">
        <f t="shared" si="68"/>
        <v>51</v>
      </c>
      <c r="B1961" t="str">
        <f>"51.0915"</f>
        <v>51.0915</v>
      </c>
      <c r="C1961" t="s">
        <v>8</v>
      </c>
      <c r="D1961" t="s">
        <v>12</v>
      </c>
      <c r="E1961" t="s">
        <v>4388</v>
      </c>
      <c r="F1961" t="s">
        <v>4389</v>
      </c>
    </row>
    <row r="1962" spans="1:8" x14ac:dyDescent="0.55000000000000004">
      <c r="A1962" t="str">
        <f t="shared" si="68"/>
        <v>51</v>
      </c>
      <c r="B1962" t="str">
        <f>"51.0916"</f>
        <v>51.0916</v>
      </c>
      <c r="C1962" t="s">
        <v>8</v>
      </c>
      <c r="D1962" t="s">
        <v>12</v>
      </c>
      <c r="E1962" t="s">
        <v>4390</v>
      </c>
      <c r="F1962" t="s">
        <v>4391</v>
      </c>
    </row>
    <row r="1963" spans="1:8" x14ac:dyDescent="0.55000000000000004">
      <c r="A1963" t="str">
        <f t="shared" si="68"/>
        <v>51</v>
      </c>
      <c r="B1963" t="str">
        <f>"51.0917"</f>
        <v>51.0917</v>
      </c>
      <c r="C1963" t="s">
        <v>8</v>
      </c>
      <c r="D1963" t="s">
        <v>12</v>
      </c>
      <c r="E1963" t="s">
        <v>4392</v>
      </c>
      <c r="F1963" t="s">
        <v>4393</v>
      </c>
      <c r="H1963" t="s">
        <v>4394</v>
      </c>
    </row>
    <row r="1964" spans="1:8" x14ac:dyDescent="0.55000000000000004">
      <c r="A1964" t="str">
        <f t="shared" si="68"/>
        <v>51</v>
      </c>
      <c r="B1964" t="str">
        <f>"51.0918"</f>
        <v>51.0918</v>
      </c>
      <c r="C1964" t="s">
        <v>8</v>
      </c>
      <c r="D1964" t="s">
        <v>12</v>
      </c>
      <c r="E1964" t="s">
        <v>4395</v>
      </c>
      <c r="F1964" t="s">
        <v>4396</v>
      </c>
      <c r="H1964" t="s">
        <v>4397</v>
      </c>
    </row>
    <row r="1965" spans="1:8" x14ac:dyDescent="0.55000000000000004">
      <c r="A1965" t="str">
        <f t="shared" si="68"/>
        <v>51</v>
      </c>
      <c r="B1965" t="str">
        <f>"51.0919"</f>
        <v>51.0919</v>
      </c>
      <c r="C1965" t="s">
        <v>8</v>
      </c>
      <c r="D1965" t="s">
        <v>9</v>
      </c>
      <c r="E1965" t="s">
        <v>4398</v>
      </c>
      <c r="F1965" t="s">
        <v>4399</v>
      </c>
      <c r="H1965" t="s">
        <v>4400</v>
      </c>
    </row>
    <row r="1966" spans="1:8" x14ac:dyDescent="0.55000000000000004">
      <c r="A1966" t="str">
        <f t="shared" si="68"/>
        <v>51</v>
      </c>
      <c r="B1966" t="str">
        <f>"51.0920"</f>
        <v>51.0920</v>
      </c>
      <c r="C1966" t="s">
        <v>8</v>
      </c>
      <c r="D1966" t="s">
        <v>12</v>
      </c>
      <c r="E1966" t="s">
        <v>4401</v>
      </c>
      <c r="F1966" t="s">
        <v>4402</v>
      </c>
    </row>
    <row r="1967" spans="1:8" x14ac:dyDescent="0.55000000000000004">
      <c r="A1967" t="str">
        <f t="shared" si="68"/>
        <v>51</v>
      </c>
      <c r="B1967" t="str">
        <f>"51.0921"</f>
        <v>51.0921</v>
      </c>
      <c r="C1967" t="s">
        <v>47</v>
      </c>
      <c r="D1967" t="s">
        <v>12</v>
      </c>
      <c r="E1967" t="s">
        <v>4403</v>
      </c>
      <c r="F1967" t="s">
        <v>4404</v>
      </c>
    </row>
    <row r="1968" spans="1:8" x14ac:dyDescent="0.55000000000000004">
      <c r="A1968" t="str">
        <f t="shared" si="68"/>
        <v>51</v>
      </c>
      <c r="B1968" t="str">
        <f>"51.0922"</f>
        <v>51.0922</v>
      </c>
      <c r="C1968" t="s">
        <v>47</v>
      </c>
      <c r="D1968" t="s">
        <v>12</v>
      </c>
      <c r="E1968" t="s">
        <v>4405</v>
      </c>
      <c r="F1968" t="s">
        <v>4406</v>
      </c>
    </row>
    <row r="1969" spans="1:7" x14ac:dyDescent="0.55000000000000004">
      <c r="A1969" t="str">
        <f t="shared" si="68"/>
        <v>51</v>
      </c>
      <c r="B1969" t="str">
        <f>"51.0923"</f>
        <v>51.0923</v>
      </c>
      <c r="C1969" t="s">
        <v>47</v>
      </c>
      <c r="D1969" t="s">
        <v>12</v>
      </c>
      <c r="E1969" t="s">
        <v>4407</v>
      </c>
      <c r="F1969" t="s">
        <v>4408</v>
      </c>
    </row>
    <row r="1970" spans="1:7" x14ac:dyDescent="0.55000000000000004">
      <c r="A1970" t="str">
        <f t="shared" si="68"/>
        <v>51</v>
      </c>
      <c r="B1970" t="str">
        <f>"51.0924"</f>
        <v>51.0924</v>
      </c>
      <c r="C1970" t="s">
        <v>47</v>
      </c>
      <c r="D1970" t="s">
        <v>12</v>
      </c>
      <c r="E1970" t="s">
        <v>82</v>
      </c>
      <c r="F1970" t="s">
        <v>83</v>
      </c>
    </row>
    <row r="1971" spans="1:7" x14ac:dyDescent="0.55000000000000004">
      <c r="A1971" t="str">
        <f t="shared" si="68"/>
        <v>51</v>
      </c>
      <c r="B1971" t="str">
        <f>"51.0999"</f>
        <v>51.0999</v>
      </c>
      <c r="C1971" t="s">
        <v>8</v>
      </c>
      <c r="D1971" t="s">
        <v>12</v>
      </c>
      <c r="E1971" t="s">
        <v>4409</v>
      </c>
      <c r="F1971" t="s">
        <v>4410</v>
      </c>
    </row>
    <row r="1972" spans="1:7" x14ac:dyDescent="0.55000000000000004">
      <c r="A1972" t="str">
        <f t="shared" si="68"/>
        <v>51</v>
      </c>
      <c r="B1972" t="str">
        <f>"51.10"</f>
        <v>51.10</v>
      </c>
      <c r="C1972" t="s">
        <v>8</v>
      </c>
      <c r="D1972" t="s">
        <v>12</v>
      </c>
      <c r="E1972" t="s">
        <v>4411</v>
      </c>
      <c r="F1972" t="s">
        <v>4412</v>
      </c>
    </row>
    <row r="1973" spans="1:7" x14ac:dyDescent="0.55000000000000004">
      <c r="A1973" t="str">
        <f t="shared" si="68"/>
        <v>51</v>
      </c>
      <c r="B1973" t="str">
        <f>"51.1001"</f>
        <v>51.1001</v>
      </c>
      <c r="C1973" t="s">
        <v>8</v>
      </c>
      <c r="D1973" t="s">
        <v>12</v>
      </c>
      <c r="E1973" t="s">
        <v>4413</v>
      </c>
      <c r="F1973" t="s">
        <v>4414</v>
      </c>
    </row>
    <row r="1974" spans="1:7" x14ac:dyDescent="0.55000000000000004">
      <c r="A1974" t="str">
        <f t="shared" si="68"/>
        <v>51</v>
      </c>
      <c r="B1974" t="str">
        <f>"51.1002"</f>
        <v>51.1002</v>
      </c>
      <c r="C1974" t="s">
        <v>8</v>
      </c>
      <c r="D1974" t="s">
        <v>12</v>
      </c>
      <c r="E1974" t="s">
        <v>4415</v>
      </c>
      <c r="F1974" t="s">
        <v>4416</v>
      </c>
    </row>
    <row r="1975" spans="1:7" x14ac:dyDescent="0.55000000000000004">
      <c r="A1975" t="str">
        <f t="shared" si="68"/>
        <v>51</v>
      </c>
      <c r="B1975" t="str">
        <f>"51.1003"</f>
        <v>51.1003</v>
      </c>
      <c r="C1975" t="s">
        <v>8</v>
      </c>
      <c r="D1975" t="s">
        <v>12</v>
      </c>
      <c r="E1975" t="s">
        <v>4417</v>
      </c>
      <c r="F1975" t="s">
        <v>4418</v>
      </c>
    </row>
    <row r="1976" spans="1:7" x14ac:dyDescent="0.55000000000000004">
      <c r="A1976" t="str">
        <f t="shared" si="68"/>
        <v>51</v>
      </c>
      <c r="B1976" t="str">
        <f>"51.1004"</f>
        <v>51.1004</v>
      </c>
      <c r="C1976" t="s">
        <v>8</v>
      </c>
      <c r="D1976" t="s">
        <v>12</v>
      </c>
      <c r="E1976" t="s">
        <v>4419</v>
      </c>
      <c r="F1976" t="s">
        <v>4420</v>
      </c>
      <c r="G1976" t="s">
        <v>4421</v>
      </c>
    </row>
    <row r="1977" spans="1:7" x14ac:dyDescent="0.55000000000000004">
      <c r="A1977" t="str">
        <f t="shared" si="68"/>
        <v>51</v>
      </c>
      <c r="B1977" t="str">
        <f>"51.1005"</f>
        <v>51.1005</v>
      </c>
      <c r="C1977" t="s">
        <v>8</v>
      </c>
      <c r="D1977" t="s">
        <v>12</v>
      </c>
      <c r="E1977" t="s">
        <v>4422</v>
      </c>
      <c r="F1977" t="s">
        <v>4423</v>
      </c>
      <c r="G1977" t="s">
        <v>4424</v>
      </c>
    </row>
    <row r="1978" spans="1:7" x14ac:dyDescent="0.55000000000000004">
      <c r="A1978" t="str">
        <f t="shared" si="68"/>
        <v>51</v>
      </c>
      <c r="B1978" t="str">
        <f>"51.1006"</f>
        <v>51.1006</v>
      </c>
      <c r="C1978" t="s">
        <v>8</v>
      </c>
      <c r="D1978" t="s">
        <v>12</v>
      </c>
      <c r="E1978" t="s">
        <v>4425</v>
      </c>
      <c r="F1978" t="s">
        <v>4426</v>
      </c>
    </row>
    <row r="1979" spans="1:7" x14ac:dyDescent="0.55000000000000004">
      <c r="A1979" t="str">
        <f t="shared" si="68"/>
        <v>51</v>
      </c>
      <c r="B1979" t="str">
        <f>"51.1007"</f>
        <v>51.1007</v>
      </c>
      <c r="C1979" t="s">
        <v>8</v>
      </c>
      <c r="D1979" t="s">
        <v>12</v>
      </c>
      <c r="E1979" t="s">
        <v>4427</v>
      </c>
      <c r="F1979" t="s">
        <v>4428</v>
      </c>
    </row>
    <row r="1980" spans="1:7" x14ac:dyDescent="0.55000000000000004">
      <c r="A1980" t="str">
        <f t="shared" si="68"/>
        <v>51</v>
      </c>
      <c r="B1980" t="str">
        <f>"51.1008"</f>
        <v>51.1008</v>
      </c>
      <c r="C1980" t="s">
        <v>8</v>
      </c>
      <c r="D1980" t="s">
        <v>12</v>
      </c>
      <c r="E1980" t="s">
        <v>4429</v>
      </c>
      <c r="F1980" t="s">
        <v>4430</v>
      </c>
    </row>
    <row r="1981" spans="1:7" x14ac:dyDescent="0.55000000000000004">
      <c r="A1981" t="str">
        <f t="shared" si="68"/>
        <v>51</v>
      </c>
      <c r="B1981" t="str">
        <f>"51.1009"</f>
        <v>51.1009</v>
      </c>
      <c r="C1981" t="s">
        <v>8</v>
      </c>
      <c r="D1981" t="s">
        <v>12</v>
      </c>
      <c r="E1981" t="s">
        <v>4431</v>
      </c>
      <c r="F1981" t="s">
        <v>4432</v>
      </c>
    </row>
    <row r="1982" spans="1:7" x14ac:dyDescent="0.55000000000000004">
      <c r="A1982" t="str">
        <f t="shared" si="68"/>
        <v>51</v>
      </c>
      <c r="B1982" t="str">
        <f>"51.1010"</f>
        <v>51.1010</v>
      </c>
      <c r="C1982" t="s">
        <v>8</v>
      </c>
      <c r="D1982" t="s">
        <v>12</v>
      </c>
      <c r="E1982" t="s">
        <v>4433</v>
      </c>
      <c r="F1982" t="s">
        <v>4434</v>
      </c>
      <c r="G1982" t="s">
        <v>4435</v>
      </c>
    </row>
    <row r="1983" spans="1:7" x14ac:dyDescent="0.55000000000000004">
      <c r="A1983" t="str">
        <f t="shared" si="68"/>
        <v>51</v>
      </c>
      <c r="B1983" t="str">
        <f>"51.1011"</f>
        <v>51.1011</v>
      </c>
      <c r="C1983" t="s">
        <v>8</v>
      </c>
      <c r="D1983" t="s">
        <v>12</v>
      </c>
      <c r="E1983" t="s">
        <v>4436</v>
      </c>
      <c r="F1983" t="s">
        <v>4437</v>
      </c>
    </row>
    <row r="1984" spans="1:7" x14ac:dyDescent="0.55000000000000004">
      <c r="A1984" t="str">
        <f t="shared" si="68"/>
        <v>51</v>
      </c>
      <c r="B1984" t="str">
        <f>"51.1012"</f>
        <v>51.1012</v>
      </c>
      <c r="C1984" t="s">
        <v>8</v>
      </c>
      <c r="D1984" t="s">
        <v>12</v>
      </c>
      <c r="E1984" t="s">
        <v>4438</v>
      </c>
      <c r="F1984" t="s">
        <v>4439</v>
      </c>
      <c r="G1984" t="s">
        <v>4440</v>
      </c>
    </row>
    <row r="1985" spans="1:8" x14ac:dyDescent="0.55000000000000004">
      <c r="A1985" t="str">
        <f t="shared" si="68"/>
        <v>51</v>
      </c>
      <c r="B1985" t="str">
        <f>"51.1099"</f>
        <v>51.1099</v>
      </c>
      <c r="C1985" t="s">
        <v>8</v>
      </c>
      <c r="D1985" t="s">
        <v>12</v>
      </c>
      <c r="E1985" t="s">
        <v>4441</v>
      </c>
      <c r="F1985" t="s">
        <v>4442</v>
      </c>
      <c r="H1985" t="s">
        <v>4443</v>
      </c>
    </row>
    <row r="1986" spans="1:8" x14ac:dyDescent="0.55000000000000004">
      <c r="A1986" t="str">
        <f t="shared" si="68"/>
        <v>51</v>
      </c>
      <c r="B1986" t="str">
        <f>"51.11"</f>
        <v>51.11</v>
      </c>
      <c r="C1986" t="s">
        <v>8</v>
      </c>
      <c r="D1986" t="s">
        <v>12</v>
      </c>
      <c r="E1986" t="s">
        <v>4444</v>
      </c>
      <c r="F1986" t="s">
        <v>4445</v>
      </c>
    </row>
    <row r="1987" spans="1:8" x14ac:dyDescent="0.55000000000000004">
      <c r="A1987" t="str">
        <f t="shared" si="68"/>
        <v>51</v>
      </c>
      <c r="B1987" t="str">
        <f>"51.1101"</f>
        <v>51.1101</v>
      </c>
      <c r="C1987" t="s">
        <v>8</v>
      </c>
      <c r="D1987" t="s">
        <v>12</v>
      </c>
      <c r="E1987" t="s">
        <v>4446</v>
      </c>
      <c r="F1987" t="s">
        <v>4447</v>
      </c>
    </row>
    <row r="1988" spans="1:8" x14ac:dyDescent="0.55000000000000004">
      <c r="A1988" t="str">
        <f t="shared" si="68"/>
        <v>51</v>
      </c>
      <c r="B1988" t="str">
        <f>"51.1102"</f>
        <v>51.1102</v>
      </c>
      <c r="C1988" t="s">
        <v>8</v>
      </c>
      <c r="D1988" t="s">
        <v>12</v>
      </c>
      <c r="E1988" t="s">
        <v>4448</v>
      </c>
      <c r="F1988" t="s">
        <v>4449</v>
      </c>
    </row>
    <row r="1989" spans="1:8" x14ac:dyDescent="0.55000000000000004">
      <c r="A1989" t="str">
        <f t="shared" si="68"/>
        <v>51</v>
      </c>
      <c r="B1989" t="str">
        <f>"51.1103"</f>
        <v>51.1103</v>
      </c>
      <c r="C1989" t="s">
        <v>8</v>
      </c>
      <c r="D1989" t="s">
        <v>12</v>
      </c>
      <c r="E1989" t="s">
        <v>4450</v>
      </c>
      <c r="F1989" t="s">
        <v>4451</v>
      </c>
    </row>
    <row r="1990" spans="1:8" x14ac:dyDescent="0.55000000000000004">
      <c r="A1990" t="str">
        <f t="shared" si="68"/>
        <v>51</v>
      </c>
      <c r="B1990" t="str">
        <f>"51.1104"</f>
        <v>51.1104</v>
      </c>
      <c r="C1990" t="s">
        <v>70</v>
      </c>
      <c r="D1990" t="s">
        <v>12</v>
      </c>
      <c r="E1990" t="s">
        <v>213</v>
      </c>
      <c r="F1990" t="s">
        <v>4452</v>
      </c>
    </row>
    <row r="1991" spans="1:8" x14ac:dyDescent="0.55000000000000004">
      <c r="A1991" t="str">
        <f t="shared" si="68"/>
        <v>51</v>
      </c>
      <c r="B1991" t="str">
        <f>"51.1105"</f>
        <v>51.1105</v>
      </c>
      <c r="C1991" t="s">
        <v>8</v>
      </c>
      <c r="D1991" t="s">
        <v>12</v>
      </c>
      <c r="E1991" t="s">
        <v>4453</v>
      </c>
      <c r="F1991" t="s">
        <v>4454</v>
      </c>
    </row>
    <row r="1992" spans="1:8" x14ac:dyDescent="0.55000000000000004">
      <c r="A1992" t="str">
        <f t="shared" si="68"/>
        <v>51</v>
      </c>
      <c r="B1992" t="str">
        <f>"51.1106"</f>
        <v>51.1106</v>
      </c>
      <c r="C1992" t="s">
        <v>8</v>
      </c>
      <c r="D1992" t="s">
        <v>12</v>
      </c>
      <c r="E1992" t="s">
        <v>4455</v>
      </c>
      <c r="F1992" t="s">
        <v>4456</v>
      </c>
    </row>
    <row r="1993" spans="1:8" x14ac:dyDescent="0.55000000000000004">
      <c r="A1993" t="str">
        <f t="shared" si="68"/>
        <v>51</v>
      </c>
      <c r="B1993" t="str">
        <f>"51.1107"</f>
        <v>51.1107</v>
      </c>
      <c r="C1993" t="s">
        <v>8</v>
      </c>
      <c r="D1993" t="s">
        <v>12</v>
      </c>
      <c r="E1993" t="s">
        <v>4457</v>
      </c>
      <c r="F1993" t="s">
        <v>4458</v>
      </c>
    </row>
    <row r="1994" spans="1:8" x14ac:dyDescent="0.55000000000000004">
      <c r="A1994" t="str">
        <f t="shared" si="68"/>
        <v>51</v>
      </c>
      <c r="B1994" t="str">
        <f>"51.1108"</f>
        <v>51.1108</v>
      </c>
      <c r="C1994" t="s">
        <v>8</v>
      </c>
      <c r="D1994" t="s">
        <v>12</v>
      </c>
      <c r="E1994" t="s">
        <v>4459</v>
      </c>
      <c r="F1994" t="s">
        <v>4460</v>
      </c>
    </row>
    <row r="1995" spans="1:8" x14ac:dyDescent="0.55000000000000004">
      <c r="A1995" t="str">
        <f t="shared" si="68"/>
        <v>51</v>
      </c>
      <c r="B1995" t="str">
        <f>"51.1109"</f>
        <v>51.1109</v>
      </c>
      <c r="C1995" t="s">
        <v>8</v>
      </c>
      <c r="D1995" t="s">
        <v>12</v>
      </c>
      <c r="E1995" t="s">
        <v>4461</v>
      </c>
      <c r="F1995" t="s">
        <v>4462</v>
      </c>
    </row>
    <row r="1996" spans="1:8" x14ac:dyDescent="0.55000000000000004">
      <c r="A1996" t="str">
        <f t="shared" si="68"/>
        <v>51</v>
      </c>
      <c r="B1996" t="str">
        <f>"51.1110"</f>
        <v>51.1110</v>
      </c>
      <c r="C1996" t="s">
        <v>47</v>
      </c>
      <c r="D1996" t="s">
        <v>12</v>
      </c>
      <c r="E1996" t="s">
        <v>4463</v>
      </c>
      <c r="F1996" t="s">
        <v>4464</v>
      </c>
    </row>
    <row r="1997" spans="1:8" x14ac:dyDescent="0.55000000000000004">
      <c r="A1997" t="str">
        <f t="shared" si="68"/>
        <v>51</v>
      </c>
      <c r="B1997" t="str">
        <f>"51.1111"</f>
        <v>51.1111</v>
      </c>
      <c r="C1997" t="s">
        <v>47</v>
      </c>
      <c r="D1997" t="s">
        <v>12</v>
      </c>
      <c r="E1997" t="s">
        <v>4465</v>
      </c>
      <c r="F1997" t="s">
        <v>4466</v>
      </c>
    </row>
    <row r="1998" spans="1:8" x14ac:dyDescent="0.55000000000000004">
      <c r="A1998" t="str">
        <f t="shared" ref="A1998:A2061" si="69">"51"</f>
        <v>51</v>
      </c>
      <c r="B1998" t="str">
        <f>"51.1199"</f>
        <v>51.1199</v>
      </c>
      <c r="C1998" t="s">
        <v>8</v>
      </c>
      <c r="D1998" t="s">
        <v>12</v>
      </c>
      <c r="E1998" t="s">
        <v>4467</v>
      </c>
      <c r="F1998" t="s">
        <v>4468</v>
      </c>
      <c r="G1998" t="s">
        <v>4469</v>
      </c>
    </row>
    <row r="1999" spans="1:8" x14ac:dyDescent="0.55000000000000004">
      <c r="A1999" t="str">
        <f t="shared" si="69"/>
        <v>51</v>
      </c>
      <c r="B1999" t="str">
        <f>"51.12"</f>
        <v>51.12</v>
      </c>
      <c r="C1999" t="s">
        <v>8</v>
      </c>
      <c r="D1999" t="s">
        <v>9</v>
      </c>
      <c r="E1999" t="s">
        <v>4470</v>
      </c>
      <c r="F1999" t="s">
        <v>4471</v>
      </c>
    </row>
    <row r="2000" spans="1:8" x14ac:dyDescent="0.55000000000000004">
      <c r="A2000" t="str">
        <f t="shared" si="69"/>
        <v>51</v>
      </c>
      <c r="B2000" t="str">
        <f>"51.1201"</f>
        <v>51.1201</v>
      </c>
      <c r="C2000" t="s">
        <v>8</v>
      </c>
      <c r="D2000" t="s">
        <v>12</v>
      </c>
      <c r="E2000" t="s">
        <v>4470</v>
      </c>
      <c r="F2000" t="s">
        <v>4472</v>
      </c>
      <c r="H2000" t="s">
        <v>4473</v>
      </c>
    </row>
    <row r="2001" spans="1:8" x14ac:dyDescent="0.55000000000000004">
      <c r="A2001" t="str">
        <f t="shared" si="69"/>
        <v>51</v>
      </c>
      <c r="B2001" t="str">
        <f>"51.1202"</f>
        <v>51.1202</v>
      </c>
      <c r="C2001" t="s">
        <v>173</v>
      </c>
      <c r="D2001" t="s">
        <v>12</v>
      </c>
      <c r="E2001" t="s">
        <v>4474</v>
      </c>
      <c r="F2001" t="s">
        <v>4475</v>
      </c>
      <c r="H2001" t="s">
        <v>4476</v>
      </c>
    </row>
    <row r="2002" spans="1:8" x14ac:dyDescent="0.55000000000000004">
      <c r="A2002" t="str">
        <f t="shared" si="69"/>
        <v>51</v>
      </c>
      <c r="B2002" t="str">
        <f>"51.1203"</f>
        <v>51.1203</v>
      </c>
      <c r="C2002" t="s">
        <v>173</v>
      </c>
      <c r="D2002" t="s">
        <v>12</v>
      </c>
      <c r="E2002" t="s">
        <v>4477</v>
      </c>
      <c r="F2002" t="s">
        <v>4478</v>
      </c>
      <c r="H2002" t="s">
        <v>4479</v>
      </c>
    </row>
    <row r="2003" spans="1:8" x14ac:dyDescent="0.55000000000000004">
      <c r="A2003" t="str">
        <f t="shared" si="69"/>
        <v>51</v>
      </c>
      <c r="B2003" t="str">
        <f>"51.1299"</f>
        <v>51.1299</v>
      </c>
      <c r="C2003" t="s">
        <v>47</v>
      </c>
      <c r="D2003" t="s">
        <v>12</v>
      </c>
      <c r="E2003" t="s">
        <v>4480</v>
      </c>
      <c r="F2003" t="s">
        <v>4481</v>
      </c>
    </row>
    <row r="2004" spans="1:8" x14ac:dyDescent="0.55000000000000004">
      <c r="A2004" t="str">
        <f t="shared" si="69"/>
        <v>51</v>
      </c>
      <c r="B2004" t="str">
        <f>"51.14"</f>
        <v>51.14</v>
      </c>
      <c r="C2004" t="s">
        <v>8</v>
      </c>
      <c r="D2004" t="s">
        <v>9</v>
      </c>
      <c r="E2004" t="s">
        <v>4482</v>
      </c>
      <c r="F2004" t="s">
        <v>4483</v>
      </c>
    </row>
    <row r="2005" spans="1:8" x14ac:dyDescent="0.55000000000000004">
      <c r="A2005" t="str">
        <f t="shared" si="69"/>
        <v>51</v>
      </c>
      <c r="B2005" t="str">
        <f>"51.1401"</f>
        <v>51.1401</v>
      </c>
      <c r="C2005" t="s">
        <v>8</v>
      </c>
      <c r="D2005" t="s">
        <v>9</v>
      </c>
      <c r="E2005" t="s">
        <v>4484</v>
      </c>
      <c r="F2005" t="s">
        <v>4485</v>
      </c>
      <c r="H2005" t="s">
        <v>4486</v>
      </c>
    </row>
    <row r="2006" spans="1:8" x14ac:dyDescent="0.55000000000000004">
      <c r="A2006" t="str">
        <f t="shared" si="69"/>
        <v>51</v>
      </c>
      <c r="B2006" t="str">
        <f>"51.1402"</f>
        <v>51.1402</v>
      </c>
      <c r="C2006" t="s">
        <v>47</v>
      </c>
      <c r="D2006" t="s">
        <v>12</v>
      </c>
      <c r="E2006" t="s">
        <v>4487</v>
      </c>
      <c r="F2006" t="s">
        <v>4488</v>
      </c>
    </row>
    <row r="2007" spans="1:8" x14ac:dyDescent="0.55000000000000004">
      <c r="A2007" t="str">
        <f t="shared" si="69"/>
        <v>51</v>
      </c>
      <c r="B2007" t="str">
        <f>"51.1403"</f>
        <v>51.1403</v>
      </c>
      <c r="C2007" t="s">
        <v>47</v>
      </c>
      <c r="D2007" t="s">
        <v>12</v>
      </c>
      <c r="E2007" t="s">
        <v>4489</v>
      </c>
      <c r="F2007" t="s">
        <v>4490</v>
      </c>
      <c r="G2007" t="s">
        <v>4491</v>
      </c>
    </row>
    <row r="2008" spans="1:8" x14ac:dyDescent="0.55000000000000004">
      <c r="A2008" t="str">
        <f t="shared" si="69"/>
        <v>51</v>
      </c>
      <c r="B2008" t="str">
        <f>"51.1404"</f>
        <v>51.1404</v>
      </c>
      <c r="C2008" t="s">
        <v>47</v>
      </c>
      <c r="D2008" t="s">
        <v>12</v>
      </c>
      <c r="E2008" t="s">
        <v>4492</v>
      </c>
      <c r="F2008" t="s">
        <v>4493</v>
      </c>
    </row>
    <row r="2009" spans="1:8" x14ac:dyDescent="0.55000000000000004">
      <c r="A2009" t="str">
        <f t="shared" si="69"/>
        <v>51</v>
      </c>
      <c r="B2009" t="str">
        <f>"51.1405"</f>
        <v>51.1405</v>
      </c>
      <c r="C2009" t="s">
        <v>47</v>
      </c>
      <c r="D2009" t="s">
        <v>12</v>
      </c>
      <c r="E2009" t="s">
        <v>4494</v>
      </c>
      <c r="F2009" t="s">
        <v>4495</v>
      </c>
      <c r="H2009" t="s">
        <v>4496</v>
      </c>
    </row>
    <row r="2010" spans="1:8" x14ac:dyDescent="0.55000000000000004">
      <c r="A2010" t="str">
        <f t="shared" si="69"/>
        <v>51</v>
      </c>
      <c r="B2010" t="str">
        <f>"51.1499"</f>
        <v>51.1499</v>
      </c>
      <c r="C2010" t="s">
        <v>47</v>
      </c>
      <c r="D2010" t="s">
        <v>12</v>
      </c>
      <c r="E2010" t="s">
        <v>4497</v>
      </c>
      <c r="F2010" t="s">
        <v>4498</v>
      </c>
    </row>
    <row r="2011" spans="1:8" x14ac:dyDescent="0.55000000000000004">
      <c r="A2011" t="str">
        <f t="shared" si="69"/>
        <v>51</v>
      </c>
      <c r="B2011" t="str">
        <f>"51.15"</f>
        <v>51.15</v>
      </c>
      <c r="C2011" t="s">
        <v>8</v>
      </c>
      <c r="D2011" t="s">
        <v>12</v>
      </c>
      <c r="E2011" t="s">
        <v>4499</v>
      </c>
      <c r="F2011" t="s">
        <v>4500</v>
      </c>
    </row>
    <row r="2012" spans="1:8" x14ac:dyDescent="0.55000000000000004">
      <c r="A2012" t="str">
        <f t="shared" si="69"/>
        <v>51</v>
      </c>
      <c r="B2012" t="str">
        <f>"51.1501"</f>
        <v>51.1501</v>
      </c>
      <c r="C2012" t="s">
        <v>8</v>
      </c>
      <c r="D2012" t="s">
        <v>12</v>
      </c>
      <c r="E2012" t="s">
        <v>4501</v>
      </c>
      <c r="F2012" t="s">
        <v>4502</v>
      </c>
    </row>
    <row r="2013" spans="1:8" x14ac:dyDescent="0.55000000000000004">
      <c r="A2013" t="str">
        <f t="shared" si="69"/>
        <v>51</v>
      </c>
      <c r="B2013" t="str">
        <f>"51.1502"</f>
        <v>51.1502</v>
      </c>
      <c r="C2013" t="s">
        <v>8</v>
      </c>
      <c r="D2013" t="s">
        <v>12</v>
      </c>
      <c r="E2013" t="s">
        <v>4503</v>
      </c>
      <c r="F2013" t="s">
        <v>4504</v>
      </c>
    </row>
    <row r="2014" spans="1:8" x14ac:dyDescent="0.55000000000000004">
      <c r="A2014" t="str">
        <f t="shared" si="69"/>
        <v>51</v>
      </c>
      <c r="B2014" t="str">
        <f>"51.1503"</f>
        <v>51.1503</v>
      </c>
      <c r="C2014" t="s">
        <v>8</v>
      </c>
      <c r="D2014" t="s">
        <v>12</v>
      </c>
      <c r="E2014" t="s">
        <v>4505</v>
      </c>
      <c r="F2014" t="s">
        <v>4506</v>
      </c>
      <c r="G2014" t="s">
        <v>4507</v>
      </c>
    </row>
    <row r="2015" spans="1:8" x14ac:dyDescent="0.55000000000000004">
      <c r="A2015" t="str">
        <f t="shared" si="69"/>
        <v>51</v>
      </c>
      <c r="B2015" t="str">
        <f>"51.1504"</f>
        <v>51.1504</v>
      </c>
      <c r="C2015" t="s">
        <v>8</v>
      </c>
      <c r="D2015" t="s">
        <v>12</v>
      </c>
      <c r="E2015" t="s">
        <v>4508</v>
      </c>
      <c r="F2015" t="s">
        <v>4509</v>
      </c>
      <c r="H2015" t="s">
        <v>4510</v>
      </c>
    </row>
    <row r="2016" spans="1:8" x14ac:dyDescent="0.55000000000000004">
      <c r="A2016" t="str">
        <f t="shared" si="69"/>
        <v>51</v>
      </c>
      <c r="B2016" t="str">
        <f>"51.1505"</f>
        <v>51.1505</v>
      </c>
      <c r="C2016" t="s">
        <v>8</v>
      </c>
      <c r="D2016" t="s">
        <v>12</v>
      </c>
      <c r="E2016" t="s">
        <v>4511</v>
      </c>
      <c r="F2016" t="s">
        <v>4512</v>
      </c>
      <c r="G2016" t="s">
        <v>4513</v>
      </c>
    </row>
    <row r="2017" spans="1:8" x14ac:dyDescent="0.55000000000000004">
      <c r="A2017" t="str">
        <f t="shared" si="69"/>
        <v>51</v>
      </c>
      <c r="B2017" t="str">
        <f>"51.1506"</f>
        <v>51.1506</v>
      </c>
      <c r="C2017" t="s">
        <v>8</v>
      </c>
      <c r="D2017" t="s">
        <v>12</v>
      </c>
      <c r="E2017" t="s">
        <v>4514</v>
      </c>
      <c r="F2017" t="s">
        <v>4515</v>
      </c>
      <c r="G2017" t="s">
        <v>4516</v>
      </c>
    </row>
    <row r="2018" spans="1:8" x14ac:dyDescent="0.55000000000000004">
      <c r="A2018" t="str">
        <f t="shared" si="69"/>
        <v>51</v>
      </c>
      <c r="B2018" t="str">
        <f>"51.1507"</f>
        <v>51.1507</v>
      </c>
      <c r="C2018" t="s">
        <v>8</v>
      </c>
      <c r="D2018" t="s">
        <v>12</v>
      </c>
      <c r="E2018" t="s">
        <v>4517</v>
      </c>
      <c r="F2018" t="s">
        <v>4518</v>
      </c>
    </row>
    <row r="2019" spans="1:8" x14ac:dyDescent="0.55000000000000004">
      <c r="A2019" t="str">
        <f t="shared" si="69"/>
        <v>51</v>
      </c>
      <c r="B2019" t="str">
        <f>"51.1508"</f>
        <v>51.1508</v>
      </c>
      <c r="C2019" t="s">
        <v>8</v>
      </c>
      <c r="D2019" t="s">
        <v>12</v>
      </c>
      <c r="E2019" t="s">
        <v>4519</v>
      </c>
      <c r="F2019" t="s">
        <v>4520</v>
      </c>
      <c r="G2019" t="s">
        <v>4521</v>
      </c>
    </row>
    <row r="2020" spans="1:8" x14ac:dyDescent="0.55000000000000004">
      <c r="A2020" t="str">
        <f t="shared" si="69"/>
        <v>51</v>
      </c>
      <c r="B2020" t="str">
        <f>"51.1509"</f>
        <v>51.1509</v>
      </c>
      <c r="C2020" t="s">
        <v>8</v>
      </c>
      <c r="D2020" t="s">
        <v>12</v>
      </c>
      <c r="E2020" t="s">
        <v>4522</v>
      </c>
      <c r="F2020" t="s">
        <v>4523</v>
      </c>
      <c r="G2020" t="s">
        <v>4524</v>
      </c>
    </row>
    <row r="2021" spans="1:8" x14ac:dyDescent="0.55000000000000004">
      <c r="A2021" t="str">
        <f t="shared" si="69"/>
        <v>51</v>
      </c>
      <c r="B2021" t="str">
        <f>"51.1510"</f>
        <v>51.1510</v>
      </c>
      <c r="C2021" t="s">
        <v>47</v>
      </c>
      <c r="D2021" t="s">
        <v>12</v>
      </c>
      <c r="E2021" t="s">
        <v>4525</v>
      </c>
      <c r="F2021" t="s">
        <v>4526</v>
      </c>
    </row>
    <row r="2022" spans="1:8" x14ac:dyDescent="0.55000000000000004">
      <c r="A2022" t="str">
        <f t="shared" si="69"/>
        <v>51</v>
      </c>
      <c r="B2022" t="str">
        <f>"51.1511"</f>
        <v>51.1511</v>
      </c>
      <c r="C2022" t="s">
        <v>47</v>
      </c>
      <c r="D2022" t="s">
        <v>12</v>
      </c>
      <c r="E2022" t="s">
        <v>4527</v>
      </c>
      <c r="F2022" t="s">
        <v>4528</v>
      </c>
    </row>
    <row r="2023" spans="1:8" x14ac:dyDescent="0.55000000000000004">
      <c r="A2023" t="str">
        <f t="shared" si="69"/>
        <v>51</v>
      </c>
      <c r="B2023" t="str">
        <f>"51.1512"</f>
        <v>51.1512</v>
      </c>
      <c r="C2023" t="s">
        <v>47</v>
      </c>
      <c r="D2023" t="s">
        <v>12</v>
      </c>
      <c r="E2023" t="s">
        <v>4529</v>
      </c>
      <c r="F2023" t="s">
        <v>4530</v>
      </c>
    </row>
    <row r="2024" spans="1:8" x14ac:dyDescent="0.55000000000000004">
      <c r="A2024" t="str">
        <f t="shared" si="69"/>
        <v>51</v>
      </c>
      <c r="B2024" t="str">
        <f>"51.1513"</f>
        <v>51.1513</v>
      </c>
      <c r="C2024" t="s">
        <v>47</v>
      </c>
      <c r="D2024" t="s">
        <v>12</v>
      </c>
      <c r="E2024" t="s">
        <v>4531</v>
      </c>
      <c r="F2024" t="s">
        <v>4532</v>
      </c>
    </row>
    <row r="2025" spans="1:8" x14ac:dyDescent="0.55000000000000004">
      <c r="A2025" t="str">
        <f t="shared" si="69"/>
        <v>51</v>
      </c>
      <c r="B2025" t="str">
        <f>"51.1580"</f>
        <v>51.1580</v>
      </c>
      <c r="C2025" t="s">
        <v>47</v>
      </c>
      <c r="D2025" t="s">
        <v>12</v>
      </c>
      <c r="E2025" t="s">
        <v>82</v>
      </c>
      <c r="F2025" t="s">
        <v>83</v>
      </c>
    </row>
    <row r="2026" spans="1:8" x14ac:dyDescent="0.55000000000000004">
      <c r="A2026" t="str">
        <f t="shared" si="69"/>
        <v>51</v>
      </c>
      <c r="B2026" t="str">
        <f>"51.1599"</f>
        <v>51.1599</v>
      </c>
      <c r="C2026" t="s">
        <v>8</v>
      </c>
      <c r="D2026" t="s">
        <v>12</v>
      </c>
      <c r="E2026" t="s">
        <v>4533</v>
      </c>
      <c r="F2026" t="s">
        <v>4534</v>
      </c>
    </row>
    <row r="2027" spans="1:8" x14ac:dyDescent="0.55000000000000004">
      <c r="A2027" t="str">
        <f t="shared" si="69"/>
        <v>51</v>
      </c>
      <c r="B2027" t="str">
        <f>"51.17"</f>
        <v>51.17</v>
      </c>
      <c r="C2027" t="s">
        <v>8</v>
      </c>
      <c r="D2027" t="s">
        <v>12</v>
      </c>
      <c r="E2027" t="s">
        <v>4535</v>
      </c>
      <c r="F2027" t="s">
        <v>4536</v>
      </c>
    </row>
    <row r="2028" spans="1:8" x14ac:dyDescent="0.55000000000000004">
      <c r="A2028" t="str">
        <f t="shared" si="69"/>
        <v>51</v>
      </c>
      <c r="B2028" t="str">
        <f>"51.1701"</f>
        <v>51.1701</v>
      </c>
      <c r="C2028" t="s">
        <v>8</v>
      </c>
      <c r="D2028" t="s">
        <v>12</v>
      </c>
      <c r="E2028" t="s">
        <v>4535</v>
      </c>
      <c r="F2028" t="s">
        <v>4537</v>
      </c>
      <c r="H2028" t="s">
        <v>4538</v>
      </c>
    </row>
    <row r="2029" spans="1:8" x14ac:dyDescent="0.55000000000000004">
      <c r="A2029" t="str">
        <f t="shared" si="69"/>
        <v>51</v>
      </c>
      <c r="B2029" t="str">
        <f>"51.18"</f>
        <v>51.18</v>
      </c>
      <c r="C2029" t="s">
        <v>8</v>
      </c>
      <c r="D2029" t="s">
        <v>12</v>
      </c>
      <c r="E2029" t="s">
        <v>4539</v>
      </c>
      <c r="F2029" t="s">
        <v>4540</v>
      </c>
    </row>
    <row r="2030" spans="1:8" x14ac:dyDescent="0.55000000000000004">
      <c r="A2030" t="str">
        <f t="shared" si="69"/>
        <v>51</v>
      </c>
      <c r="B2030" t="str">
        <f>"51.1801"</f>
        <v>51.1801</v>
      </c>
      <c r="C2030" t="s">
        <v>8</v>
      </c>
      <c r="D2030" t="s">
        <v>12</v>
      </c>
      <c r="E2030" t="s">
        <v>4541</v>
      </c>
      <c r="F2030" t="s">
        <v>4542</v>
      </c>
    </row>
    <row r="2031" spans="1:8" x14ac:dyDescent="0.55000000000000004">
      <c r="A2031" t="str">
        <f t="shared" si="69"/>
        <v>51</v>
      </c>
      <c r="B2031" t="str">
        <f>"51.1802"</f>
        <v>51.1802</v>
      </c>
      <c r="C2031" t="s">
        <v>8</v>
      </c>
      <c r="D2031" t="s">
        <v>12</v>
      </c>
      <c r="E2031" t="s">
        <v>4543</v>
      </c>
      <c r="F2031" t="s">
        <v>4544</v>
      </c>
    </row>
    <row r="2032" spans="1:8" x14ac:dyDescent="0.55000000000000004">
      <c r="A2032" t="str">
        <f t="shared" si="69"/>
        <v>51</v>
      </c>
      <c r="B2032" t="str">
        <f>"51.1803"</f>
        <v>51.1803</v>
      </c>
      <c r="C2032" t="s">
        <v>8</v>
      </c>
      <c r="D2032" t="s">
        <v>12</v>
      </c>
      <c r="E2032" t="s">
        <v>4545</v>
      </c>
      <c r="F2032" t="s">
        <v>4546</v>
      </c>
    </row>
    <row r="2033" spans="1:8" x14ac:dyDescent="0.55000000000000004">
      <c r="A2033" t="str">
        <f t="shared" si="69"/>
        <v>51</v>
      </c>
      <c r="B2033" t="str">
        <f>"51.1804"</f>
        <v>51.1804</v>
      </c>
      <c r="C2033" t="s">
        <v>8</v>
      </c>
      <c r="D2033" t="s">
        <v>12</v>
      </c>
      <c r="E2033" t="s">
        <v>4547</v>
      </c>
      <c r="F2033" t="s">
        <v>4548</v>
      </c>
    </row>
    <row r="2034" spans="1:8" x14ac:dyDescent="0.55000000000000004">
      <c r="A2034" t="str">
        <f t="shared" si="69"/>
        <v>51</v>
      </c>
      <c r="B2034" t="str">
        <f>"51.1899"</f>
        <v>51.1899</v>
      </c>
      <c r="C2034" t="s">
        <v>8</v>
      </c>
      <c r="D2034" t="s">
        <v>12</v>
      </c>
      <c r="E2034" t="s">
        <v>4549</v>
      </c>
      <c r="F2034" t="s">
        <v>4550</v>
      </c>
    </row>
    <row r="2035" spans="1:8" x14ac:dyDescent="0.55000000000000004">
      <c r="A2035" t="str">
        <f t="shared" si="69"/>
        <v>51</v>
      </c>
      <c r="B2035" t="str">
        <f>"51.19"</f>
        <v>51.19</v>
      </c>
      <c r="C2035" t="s">
        <v>3647</v>
      </c>
      <c r="D2035" t="s">
        <v>12</v>
      </c>
      <c r="E2035" t="s">
        <v>4474</v>
      </c>
      <c r="F2035" t="s">
        <v>4551</v>
      </c>
    </row>
    <row r="2036" spans="1:8" x14ac:dyDescent="0.55000000000000004">
      <c r="A2036" t="str">
        <f t="shared" si="69"/>
        <v>51</v>
      </c>
      <c r="B2036" t="str">
        <f>"51.1901"</f>
        <v>51.1901</v>
      </c>
      <c r="C2036" t="s">
        <v>70</v>
      </c>
      <c r="D2036" t="s">
        <v>12</v>
      </c>
      <c r="E2036" t="s">
        <v>4474</v>
      </c>
      <c r="F2036" t="s">
        <v>4552</v>
      </c>
    </row>
    <row r="2037" spans="1:8" x14ac:dyDescent="0.55000000000000004">
      <c r="A2037" t="str">
        <f t="shared" si="69"/>
        <v>51</v>
      </c>
      <c r="B2037" t="str">
        <f>"51.20"</f>
        <v>51.20</v>
      </c>
      <c r="C2037" t="s">
        <v>8</v>
      </c>
      <c r="D2037" t="s">
        <v>12</v>
      </c>
      <c r="E2037" t="s">
        <v>4553</v>
      </c>
      <c r="F2037" t="s">
        <v>4554</v>
      </c>
    </row>
    <row r="2038" spans="1:8" x14ac:dyDescent="0.55000000000000004">
      <c r="A2038" t="str">
        <f t="shared" si="69"/>
        <v>51</v>
      </c>
      <c r="B2038" t="str">
        <f>"51.2001"</f>
        <v>51.2001</v>
      </c>
      <c r="C2038" t="s">
        <v>8</v>
      </c>
      <c r="D2038" t="s">
        <v>12</v>
      </c>
      <c r="E2038" t="s">
        <v>4555</v>
      </c>
      <c r="F2038" t="s">
        <v>4556</v>
      </c>
      <c r="H2038" t="s">
        <v>4557</v>
      </c>
    </row>
    <row r="2039" spans="1:8" x14ac:dyDescent="0.55000000000000004">
      <c r="A2039" t="str">
        <f t="shared" si="69"/>
        <v>51</v>
      </c>
      <c r="B2039" t="str">
        <f>"51.2002"</f>
        <v>51.2002</v>
      </c>
      <c r="C2039" t="s">
        <v>8</v>
      </c>
      <c r="D2039" t="s">
        <v>12</v>
      </c>
      <c r="E2039" t="s">
        <v>4558</v>
      </c>
      <c r="F2039" t="s">
        <v>4559</v>
      </c>
      <c r="H2039" t="s">
        <v>4560</v>
      </c>
    </row>
    <row r="2040" spans="1:8" x14ac:dyDescent="0.55000000000000004">
      <c r="A2040" t="str">
        <f t="shared" si="69"/>
        <v>51</v>
      </c>
      <c r="B2040" t="str">
        <f>"51.2003"</f>
        <v>51.2003</v>
      </c>
      <c r="C2040" t="s">
        <v>8</v>
      </c>
      <c r="D2040" t="s">
        <v>12</v>
      </c>
      <c r="E2040" t="s">
        <v>4561</v>
      </c>
      <c r="F2040" t="s">
        <v>4562</v>
      </c>
      <c r="G2040" t="s">
        <v>4563</v>
      </c>
      <c r="H2040" t="s">
        <v>4564</v>
      </c>
    </row>
    <row r="2041" spans="1:8" x14ac:dyDescent="0.55000000000000004">
      <c r="A2041" t="str">
        <f t="shared" si="69"/>
        <v>51</v>
      </c>
      <c r="B2041" t="str">
        <f>"51.2004"</f>
        <v>51.2004</v>
      </c>
      <c r="C2041" t="s">
        <v>8</v>
      </c>
      <c r="D2041" t="s">
        <v>12</v>
      </c>
      <c r="E2041" t="s">
        <v>4565</v>
      </c>
      <c r="F2041" t="s">
        <v>4566</v>
      </c>
      <c r="H2041" t="s">
        <v>4567</v>
      </c>
    </row>
    <row r="2042" spans="1:8" x14ac:dyDescent="0.55000000000000004">
      <c r="A2042" t="str">
        <f t="shared" si="69"/>
        <v>51</v>
      </c>
      <c r="B2042" t="str">
        <f>"51.2005"</f>
        <v>51.2005</v>
      </c>
      <c r="C2042" t="s">
        <v>8</v>
      </c>
      <c r="D2042" t="s">
        <v>12</v>
      </c>
      <c r="E2042" t="s">
        <v>4568</v>
      </c>
      <c r="F2042" t="s">
        <v>4569</v>
      </c>
      <c r="H2042" t="s">
        <v>4570</v>
      </c>
    </row>
    <row r="2043" spans="1:8" x14ac:dyDescent="0.55000000000000004">
      <c r="A2043" t="str">
        <f t="shared" si="69"/>
        <v>51</v>
      </c>
      <c r="B2043" t="str">
        <f>"51.2006"</f>
        <v>51.2006</v>
      </c>
      <c r="C2043" t="s">
        <v>8</v>
      </c>
      <c r="D2043" t="s">
        <v>12</v>
      </c>
      <c r="E2043" t="s">
        <v>4571</v>
      </c>
      <c r="F2043" t="s">
        <v>4572</v>
      </c>
      <c r="H2043" t="s">
        <v>4573</v>
      </c>
    </row>
    <row r="2044" spans="1:8" x14ac:dyDescent="0.55000000000000004">
      <c r="A2044" t="str">
        <f t="shared" si="69"/>
        <v>51</v>
      </c>
      <c r="B2044" t="str">
        <f>"51.2007"</f>
        <v>51.2007</v>
      </c>
      <c r="C2044" t="s">
        <v>8</v>
      </c>
      <c r="D2044" t="s">
        <v>12</v>
      </c>
      <c r="E2044" t="s">
        <v>4574</v>
      </c>
      <c r="F2044" t="s">
        <v>4575</v>
      </c>
      <c r="H2044" t="s">
        <v>4576</v>
      </c>
    </row>
    <row r="2045" spans="1:8" x14ac:dyDescent="0.55000000000000004">
      <c r="A2045" t="str">
        <f t="shared" si="69"/>
        <v>51</v>
      </c>
      <c r="B2045" t="str">
        <f>"51.2008"</f>
        <v>51.2008</v>
      </c>
      <c r="C2045" t="s">
        <v>8</v>
      </c>
      <c r="D2045" t="s">
        <v>12</v>
      </c>
      <c r="E2045" t="s">
        <v>4577</v>
      </c>
      <c r="F2045" t="s">
        <v>4578</v>
      </c>
      <c r="H2045" t="s">
        <v>4579</v>
      </c>
    </row>
    <row r="2046" spans="1:8" x14ac:dyDescent="0.55000000000000004">
      <c r="A2046" t="str">
        <f t="shared" si="69"/>
        <v>51</v>
      </c>
      <c r="B2046" t="str">
        <f>"51.2009"</f>
        <v>51.2009</v>
      </c>
      <c r="C2046" t="s">
        <v>8</v>
      </c>
      <c r="D2046" t="s">
        <v>12</v>
      </c>
      <c r="E2046" t="s">
        <v>4580</v>
      </c>
      <c r="F2046" t="s">
        <v>4581</v>
      </c>
      <c r="H2046" t="s">
        <v>4582</v>
      </c>
    </row>
    <row r="2047" spans="1:8" x14ac:dyDescent="0.55000000000000004">
      <c r="A2047" t="str">
        <f t="shared" si="69"/>
        <v>51</v>
      </c>
      <c r="B2047" t="str">
        <f>"51.2010"</f>
        <v>51.2010</v>
      </c>
      <c r="C2047" t="s">
        <v>8</v>
      </c>
      <c r="D2047" t="s">
        <v>12</v>
      </c>
      <c r="E2047" t="s">
        <v>4583</v>
      </c>
      <c r="F2047" t="s">
        <v>4584</v>
      </c>
      <c r="G2047" t="s">
        <v>4563</v>
      </c>
    </row>
    <row r="2048" spans="1:8" x14ac:dyDescent="0.55000000000000004">
      <c r="A2048" t="str">
        <f t="shared" si="69"/>
        <v>51</v>
      </c>
      <c r="B2048" t="str">
        <f>"51.2011"</f>
        <v>51.2011</v>
      </c>
      <c r="C2048" t="s">
        <v>8</v>
      </c>
      <c r="D2048" t="s">
        <v>12</v>
      </c>
      <c r="E2048" t="s">
        <v>4585</v>
      </c>
      <c r="F2048" t="s">
        <v>4586</v>
      </c>
      <c r="H2048" t="s">
        <v>4587</v>
      </c>
    </row>
    <row r="2049" spans="1:8" x14ac:dyDescent="0.55000000000000004">
      <c r="A2049" t="str">
        <f t="shared" si="69"/>
        <v>51</v>
      </c>
      <c r="B2049" t="str">
        <f>"51.2099"</f>
        <v>51.2099</v>
      </c>
      <c r="C2049" t="s">
        <v>8</v>
      </c>
      <c r="D2049" t="s">
        <v>12</v>
      </c>
      <c r="E2049" t="s">
        <v>4588</v>
      </c>
      <c r="F2049" t="s">
        <v>4589</v>
      </c>
    </row>
    <row r="2050" spans="1:8" x14ac:dyDescent="0.55000000000000004">
      <c r="A2050" t="str">
        <f t="shared" si="69"/>
        <v>51</v>
      </c>
      <c r="B2050" t="str">
        <f>"51.21"</f>
        <v>51.21</v>
      </c>
      <c r="C2050" t="s">
        <v>3647</v>
      </c>
      <c r="D2050" t="s">
        <v>12</v>
      </c>
      <c r="E2050" t="s">
        <v>4477</v>
      </c>
      <c r="F2050" t="s">
        <v>4590</v>
      </c>
    </row>
    <row r="2051" spans="1:8" x14ac:dyDescent="0.55000000000000004">
      <c r="A2051" t="str">
        <f t="shared" si="69"/>
        <v>51</v>
      </c>
      <c r="B2051" t="str">
        <f>"51.2101"</f>
        <v>51.2101</v>
      </c>
      <c r="C2051" t="s">
        <v>70</v>
      </c>
      <c r="D2051" t="s">
        <v>12</v>
      </c>
      <c r="E2051" t="s">
        <v>4477</v>
      </c>
      <c r="F2051" t="s">
        <v>4591</v>
      </c>
    </row>
    <row r="2052" spans="1:8" x14ac:dyDescent="0.55000000000000004">
      <c r="A2052" t="str">
        <f t="shared" si="69"/>
        <v>51</v>
      </c>
      <c r="B2052" t="str">
        <f>"51.22"</f>
        <v>51.22</v>
      </c>
      <c r="C2052" t="s">
        <v>8</v>
      </c>
      <c r="D2052" t="s">
        <v>12</v>
      </c>
      <c r="E2052" t="s">
        <v>4592</v>
      </c>
      <c r="F2052" t="s">
        <v>4593</v>
      </c>
    </row>
    <row r="2053" spans="1:8" x14ac:dyDescent="0.55000000000000004">
      <c r="A2053" t="str">
        <f t="shared" si="69"/>
        <v>51</v>
      </c>
      <c r="B2053" t="str">
        <f>"51.2201"</f>
        <v>51.2201</v>
      </c>
      <c r="C2053" t="s">
        <v>8</v>
      </c>
      <c r="D2053" t="s">
        <v>12</v>
      </c>
      <c r="E2053" t="s">
        <v>4594</v>
      </c>
      <c r="F2053" t="s">
        <v>4595</v>
      </c>
      <c r="G2053" t="s">
        <v>4596</v>
      </c>
      <c r="H2053" t="s">
        <v>4597</v>
      </c>
    </row>
    <row r="2054" spans="1:8" x14ac:dyDescent="0.55000000000000004">
      <c r="A2054" t="str">
        <f t="shared" si="69"/>
        <v>51</v>
      </c>
      <c r="B2054" t="str">
        <f>"51.2202"</f>
        <v>51.2202</v>
      </c>
      <c r="C2054" t="s">
        <v>8</v>
      </c>
      <c r="D2054" t="s">
        <v>12</v>
      </c>
      <c r="E2054" t="s">
        <v>4598</v>
      </c>
      <c r="F2054" t="s">
        <v>4599</v>
      </c>
    </row>
    <row r="2055" spans="1:8" x14ac:dyDescent="0.55000000000000004">
      <c r="A2055" t="str">
        <f t="shared" si="69"/>
        <v>51</v>
      </c>
      <c r="B2055" t="str">
        <f>"51.2205"</f>
        <v>51.2205</v>
      </c>
      <c r="C2055" t="s">
        <v>8</v>
      </c>
      <c r="D2055" t="s">
        <v>12</v>
      </c>
      <c r="E2055" t="s">
        <v>4600</v>
      </c>
      <c r="F2055" t="s">
        <v>4601</v>
      </c>
      <c r="G2055" t="s">
        <v>4602</v>
      </c>
      <c r="H2055" t="s">
        <v>4603</v>
      </c>
    </row>
    <row r="2056" spans="1:8" x14ac:dyDescent="0.55000000000000004">
      <c r="A2056" t="str">
        <f t="shared" si="69"/>
        <v>51</v>
      </c>
      <c r="B2056" t="str">
        <f>"51.2206"</f>
        <v>51.2206</v>
      </c>
      <c r="C2056" t="s">
        <v>8</v>
      </c>
      <c r="D2056" t="s">
        <v>12</v>
      </c>
      <c r="E2056" t="s">
        <v>4604</v>
      </c>
      <c r="F2056" t="s">
        <v>4605</v>
      </c>
      <c r="H2056" t="s">
        <v>4606</v>
      </c>
    </row>
    <row r="2057" spans="1:8" x14ac:dyDescent="0.55000000000000004">
      <c r="A2057" t="str">
        <f t="shared" si="69"/>
        <v>51</v>
      </c>
      <c r="B2057" t="str">
        <f>"51.2207"</f>
        <v>51.2207</v>
      </c>
      <c r="C2057" t="s">
        <v>8</v>
      </c>
      <c r="D2057" t="s">
        <v>12</v>
      </c>
      <c r="E2057" t="s">
        <v>4607</v>
      </c>
      <c r="F2057" t="s">
        <v>4608</v>
      </c>
    </row>
    <row r="2058" spans="1:8" x14ac:dyDescent="0.55000000000000004">
      <c r="A2058" t="str">
        <f t="shared" si="69"/>
        <v>51</v>
      </c>
      <c r="B2058" t="str">
        <f>"51.2208"</f>
        <v>51.2208</v>
      </c>
      <c r="C2058" t="s">
        <v>8</v>
      </c>
      <c r="D2058" t="s">
        <v>12</v>
      </c>
      <c r="E2058" t="s">
        <v>4609</v>
      </c>
      <c r="F2058" t="s">
        <v>4610</v>
      </c>
    </row>
    <row r="2059" spans="1:8" x14ac:dyDescent="0.55000000000000004">
      <c r="A2059" t="str">
        <f t="shared" si="69"/>
        <v>51</v>
      </c>
      <c r="B2059" t="str">
        <f>"51.2209"</f>
        <v>51.2209</v>
      </c>
      <c r="C2059" t="s">
        <v>8</v>
      </c>
      <c r="D2059" t="s">
        <v>12</v>
      </c>
      <c r="E2059" t="s">
        <v>4611</v>
      </c>
      <c r="F2059" t="s">
        <v>4612</v>
      </c>
    </row>
    <row r="2060" spans="1:8" x14ac:dyDescent="0.55000000000000004">
      <c r="A2060" t="str">
        <f t="shared" si="69"/>
        <v>51</v>
      </c>
      <c r="B2060" t="str">
        <f>"51.2210"</f>
        <v>51.2210</v>
      </c>
      <c r="C2060" t="s">
        <v>8</v>
      </c>
      <c r="D2060" t="s">
        <v>12</v>
      </c>
      <c r="E2060" t="s">
        <v>4613</v>
      </c>
      <c r="F2060" t="s">
        <v>4614</v>
      </c>
      <c r="G2060" t="s">
        <v>4615</v>
      </c>
      <c r="H2060" t="s">
        <v>4616</v>
      </c>
    </row>
    <row r="2061" spans="1:8" x14ac:dyDescent="0.55000000000000004">
      <c r="A2061" t="str">
        <f t="shared" si="69"/>
        <v>51</v>
      </c>
      <c r="B2061" t="str">
        <f>"51.2211"</f>
        <v>51.2211</v>
      </c>
      <c r="C2061" t="s">
        <v>8</v>
      </c>
      <c r="D2061" t="s">
        <v>12</v>
      </c>
      <c r="E2061" t="s">
        <v>4617</v>
      </c>
      <c r="F2061" t="s">
        <v>4618</v>
      </c>
    </row>
    <row r="2062" spans="1:8" x14ac:dyDescent="0.55000000000000004">
      <c r="A2062" t="str">
        <f t="shared" ref="A2062:A2125" si="70">"51"</f>
        <v>51</v>
      </c>
      <c r="B2062" t="str">
        <f>"51.2212"</f>
        <v>51.2212</v>
      </c>
      <c r="C2062" t="s">
        <v>8</v>
      </c>
      <c r="D2062" t="s">
        <v>12</v>
      </c>
      <c r="E2062" t="s">
        <v>4619</v>
      </c>
      <c r="F2062" t="s">
        <v>4620</v>
      </c>
      <c r="H2062" t="s">
        <v>4621</v>
      </c>
    </row>
    <row r="2063" spans="1:8" x14ac:dyDescent="0.55000000000000004">
      <c r="A2063" t="str">
        <f t="shared" si="70"/>
        <v>51</v>
      </c>
      <c r="B2063" t="str">
        <f>"51.2213"</f>
        <v>51.2213</v>
      </c>
      <c r="C2063" t="s">
        <v>47</v>
      </c>
      <c r="D2063" t="s">
        <v>12</v>
      </c>
      <c r="E2063" t="s">
        <v>4622</v>
      </c>
      <c r="F2063" t="s">
        <v>4623</v>
      </c>
    </row>
    <row r="2064" spans="1:8" x14ac:dyDescent="0.55000000000000004">
      <c r="A2064" t="str">
        <f t="shared" si="70"/>
        <v>51</v>
      </c>
      <c r="B2064" t="str">
        <f>"51.2214"</f>
        <v>51.2214</v>
      </c>
      <c r="C2064" t="s">
        <v>47</v>
      </c>
      <c r="D2064" t="s">
        <v>12</v>
      </c>
      <c r="E2064" t="s">
        <v>4624</v>
      </c>
      <c r="F2064" t="s">
        <v>4625</v>
      </c>
    </row>
    <row r="2065" spans="1:8" x14ac:dyDescent="0.55000000000000004">
      <c r="A2065" t="str">
        <f t="shared" si="70"/>
        <v>51</v>
      </c>
      <c r="B2065" t="str">
        <f>"51.2280"</f>
        <v>51.2280</v>
      </c>
      <c r="C2065" t="s">
        <v>47</v>
      </c>
      <c r="D2065" t="s">
        <v>12</v>
      </c>
      <c r="E2065" t="s">
        <v>82</v>
      </c>
      <c r="F2065" t="s">
        <v>83</v>
      </c>
    </row>
    <row r="2066" spans="1:8" x14ac:dyDescent="0.55000000000000004">
      <c r="A2066" t="str">
        <f t="shared" si="70"/>
        <v>51</v>
      </c>
      <c r="B2066" t="str">
        <f>"51.2299"</f>
        <v>51.2299</v>
      </c>
      <c r="C2066" t="s">
        <v>8</v>
      </c>
      <c r="D2066" t="s">
        <v>12</v>
      </c>
      <c r="E2066" t="s">
        <v>4626</v>
      </c>
      <c r="F2066" t="s">
        <v>4627</v>
      </c>
      <c r="G2066" t="s">
        <v>4628</v>
      </c>
    </row>
    <row r="2067" spans="1:8" x14ac:dyDescent="0.55000000000000004">
      <c r="A2067" t="str">
        <f t="shared" si="70"/>
        <v>51</v>
      </c>
      <c r="B2067" t="str">
        <f>"51.23"</f>
        <v>51.23</v>
      </c>
      <c r="C2067" t="s">
        <v>8</v>
      </c>
      <c r="D2067" t="s">
        <v>12</v>
      </c>
      <c r="E2067" t="s">
        <v>4629</v>
      </c>
      <c r="F2067" t="s">
        <v>4630</v>
      </c>
    </row>
    <row r="2068" spans="1:8" x14ac:dyDescent="0.55000000000000004">
      <c r="A2068" t="str">
        <f t="shared" si="70"/>
        <v>51</v>
      </c>
      <c r="B2068" t="str">
        <f>"51.2300"</f>
        <v>51.2300</v>
      </c>
      <c r="C2068" t="s">
        <v>47</v>
      </c>
      <c r="D2068" t="s">
        <v>12</v>
      </c>
      <c r="E2068" t="s">
        <v>4631</v>
      </c>
      <c r="F2068" t="s">
        <v>4632</v>
      </c>
    </row>
    <row r="2069" spans="1:8" x14ac:dyDescent="0.55000000000000004">
      <c r="A2069" t="str">
        <f t="shared" si="70"/>
        <v>51</v>
      </c>
      <c r="B2069" t="str">
        <f>"51.2301"</f>
        <v>51.2301</v>
      </c>
      <c r="C2069" t="s">
        <v>8</v>
      </c>
      <c r="D2069" t="s">
        <v>12</v>
      </c>
      <c r="E2069" t="s">
        <v>4633</v>
      </c>
      <c r="F2069" t="s">
        <v>4634</v>
      </c>
    </row>
    <row r="2070" spans="1:8" x14ac:dyDescent="0.55000000000000004">
      <c r="A2070" t="str">
        <f t="shared" si="70"/>
        <v>51</v>
      </c>
      <c r="B2070" t="str">
        <f>"51.2302"</f>
        <v>51.2302</v>
      </c>
      <c r="C2070" t="s">
        <v>8</v>
      </c>
      <c r="D2070" t="s">
        <v>12</v>
      </c>
      <c r="E2070" t="s">
        <v>4635</v>
      </c>
      <c r="F2070" t="s">
        <v>4636</v>
      </c>
      <c r="G2070" t="s">
        <v>4637</v>
      </c>
    </row>
    <row r="2071" spans="1:8" x14ac:dyDescent="0.55000000000000004">
      <c r="A2071" t="str">
        <f t="shared" si="70"/>
        <v>51</v>
      </c>
      <c r="B2071" t="str">
        <f>"51.2305"</f>
        <v>51.2305</v>
      </c>
      <c r="C2071" t="s">
        <v>8</v>
      </c>
      <c r="D2071" t="s">
        <v>9</v>
      </c>
      <c r="E2071" t="s">
        <v>4638</v>
      </c>
      <c r="F2071" t="s">
        <v>4639</v>
      </c>
    </row>
    <row r="2072" spans="1:8" x14ac:dyDescent="0.55000000000000004">
      <c r="A2072" t="str">
        <f t="shared" si="70"/>
        <v>51</v>
      </c>
      <c r="B2072" t="str">
        <f>"51.2306"</f>
        <v>51.2306</v>
      </c>
      <c r="C2072" t="s">
        <v>8</v>
      </c>
      <c r="D2072" t="s">
        <v>12</v>
      </c>
      <c r="E2072" t="s">
        <v>4640</v>
      </c>
      <c r="F2072" t="s">
        <v>4641</v>
      </c>
    </row>
    <row r="2073" spans="1:8" x14ac:dyDescent="0.55000000000000004">
      <c r="A2073" t="str">
        <f t="shared" si="70"/>
        <v>51</v>
      </c>
      <c r="B2073" t="str">
        <f>"51.2307"</f>
        <v>51.2307</v>
      </c>
      <c r="C2073" t="s">
        <v>8</v>
      </c>
      <c r="D2073" t="s">
        <v>12</v>
      </c>
      <c r="E2073" t="s">
        <v>4642</v>
      </c>
      <c r="F2073" t="s">
        <v>4643</v>
      </c>
    </row>
    <row r="2074" spans="1:8" x14ac:dyDescent="0.55000000000000004">
      <c r="A2074" t="str">
        <f t="shared" si="70"/>
        <v>51</v>
      </c>
      <c r="B2074" t="str">
        <f>"51.2308"</f>
        <v>51.2308</v>
      </c>
      <c r="C2074" t="s">
        <v>8</v>
      </c>
      <c r="D2074" t="s">
        <v>9</v>
      </c>
      <c r="E2074" t="s">
        <v>4644</v>
      </c>
      <c r="F2074" t="s">
        <v>4645</v>
      </c>
      <c r="H2074" t="s">
        <v>4646</v>
      </c>
    </row>
    <row r="2075" spans="1:8" x14ac:dyDescent="0.55000000000000004">
      <c r="A2075" t="str">
        <f t="shared" si="70"/>
        <v>51</v>
      </c>
      <c r="B2075" t="str">
        <f>"51.2309"</f>
        <v>51.2309</v>
      </c>
      <c r="C2075" t="s">
        <v>8</v>
      </c>
      <c r="D2075" t="s">
        <v>12</v>
      </c>
      <c r="E2075" t="s">
        <v>4647</v>
      </c>
      <c r="F2075" t="s">
        <v>4648</v>
      </c>
    </row>
    <row r="2076" spans="1:8" x14ac:dyDescent="0.55000000000000004">
      <c r="A2076" t="str">
        <f t="shared" si="70"/>
        <v>51</v>
      </c>
      <c r="B2076" t="str">
        <f>"51.2310"</f>
        <v>51.2310</v>
      </c>
      <c r="C2076" t="s">
        <v>8</v>
      </c>
      <c r="D2076" t="s">
        <v>12</v>
      </c>
      <c r="E2076" t="s">
        <v>4649</v>
      </c>
      <c r="F2076" t="s">
        <v>4650</v>
      </c>
      <c r="H2076" t="s">
        <v>4651</v>
      </c>
    </row>
    <row r="2077" spans="1:8" x14ac:dyDescent="0.55000000000000004">
      <c r="A2077" t="str">
        <f t="shared" si="70"/>
        <v>51</v>
      </c>
      <c r="B2077" t="str">
        <f>"51.2311"</f>
        <v>51.2311</v>
      </c>
      <c r="C2077" t="s">
        <v>8</v>
      </c>
      <c r="D2077" t="s">
        <v>12</v>
      </c>
      <c r="E2077" t="s">
        <v>4652</v>
      </c>
      <c r="F2077" t="s">
        <v>4653</v>
      </c>
      <c r="G2077" t="s">
        <v>4654</v>
      </c>
    </row>
    <row r="2078" spans="1:8" x14ac:dyDescent="0.55000000000000004">
      <c r="A2078" t="str">
        <f t="shared" si="70"/>
        <v>51</v>
      </c>
      <c r="B2078" t="str">
        <f>"51.2312"</f>
        <v>51.2312</v>
      </c>
      <c r="C2078" t="s">
        <v>8</v>
      </c>
      <c r="D2078" t="s">
        <v>12</v>
      </c>
      <c r="E2078" t="s">
        <v>4655</v>
      </c>
      <c r="F2078" t="s">
        <v>4656</v>
      </c>
    </row>
    <row r="2079" spans="1:8" x14ac:dyDescent="0.55000000000000004">
      <c r="A2079" t="str">
        <f t="shared" si="70"/>
        <v>51</v>
      </c>
      <c r="B2079" t="str">
        <f>"51.2313"</f>
        <v>51.2313</v>
      </c>
      <c r="C2079" t="s">
        <v>8</v>
      </c>
      <c r="D2079" t="s">
        <v>12</v>
      </c>
      <c r="E2079" t="s">
        <v>4657</v>
      </c>
      <c r="F2079" t="s">
        <v>4658</v>
      </c>
      <c r="H2079" t="s">
        <v>4659</v>
      </c>
    </row>
    <row r="2080" spans="1:8" x14ac:dyDescent="0.55000000000000004">
      <c r="A2080" t="str">
        <f t="shared" si="70"/>
        <v>51</v>
      </c>
      <c r="B2080" t="str">
        <f>"51.2314"</f>
        <v>51.2314</v>
      </c>
      <c r="C2080" t="s">
        <v>8</v>
      </c>
      <c r="D2080" t="s">
        <v>12</v>
      </c>
      <c r="E2080" t="s">
        <v>4660</v>
      </c>
      <c r="F2080" t="s">
        <v>4661</v>
      </c>
    </row>
    <row r="2081" spans="1:7" x14ac:dyDescent="0.55000000000000004">
      <c r="A2081" t="str">
        <f t="shared" si="70"/>
        <v>51</v>
      </c>
      <c r="B2081" t="str">
        <f>"51.2315"</f>
        <v>51.2315</v>
      </c>
      <c r="C2081" t="s">
        <v>47</v>
      </c>
      <c r="D2081" t="s">
        <v>12</v>
      </c>
      <c r="E2081" t="s">
        <v>4662</v>
      </c>
      <c r="F2081" t="s">
        <v>4663</v>
      </c>
      <c r="G2081" t="s">
        <v>4664</v>
      </c>
    </row>
    <row r="2082" spans="1:7" x14ac:dyDescent="0.55000000000000004">
      <c r="A2082" t="str">
        <f t="shared" si="70"/>
        <v>51</v>
      </c>
      <c r="B2082" t="str">
        <f>"51.2316"</f>
        <v>51.2316</v>
      </c>
      <c r="C2082" t="s">
        <v>47</v>
      </c>
      <c r="D2082" t="s">
        <v>12</v>
      </c>
      <c r="E2082" t="s">
        <v>4665</v>
      </c>
      <c r="F2082" t="s">
        <v>4666</v>
      </c>
    </row>
    <row r="2083" spans="1:7" x14ac:dyDescent="0.55000000000000004">
      <c r="A2083" t="str">
        <f t="shared" si="70"/>
        <v>51</v>
      </c>
      <c r="B2083" t="str">
        <f>"51.2317"</f>
        <v>51.2317</v>
      </c>
      <c r="C2083" t="s">
        <v>47</v>
      </c>
      <c r="D2083" t="s">
        <v>12</v>
      </c>
      <c r="E2083" t="s">
        <v>4667</v>
      </c>
      <c r="F2083" t="s">
        <v>4668</v>
      </c>
    </row>
    <row r="2084" spans="1:7" x14ac:dyDescent="0.55000000000000004">
      <c r="A2084" t="str">
        <f t="shared" si="70"/>
        <v>51</v>
      </c>
      <c r="B2084" t="str">
        <f>"51.2399"</f>
        <v>51.2399</v>
      </c>
      <c r="C2084" t="s">
        <v>8</v>
      </c>
      <c r="D2084" t="s">
        <v>12</v>
      </c>
      <c r="E2084" t="s">
        <v>4669</v>
      </c>
      <c r="F2084" t="s">
        <v>4670</v>
      </c>
    </row>
    <row r="2085" spans="1:7" x14ac:dyDescent="0.55000000000000004">
      <c r="A2085" t="str">
        <f t="shared" si="70"/>
        <v>51</v>
      </c>
      <c r="B2085" t="str">
        <f>"51.24"</f>
        <v>51.24</v>
      </c>
      <c r="C2085" t="s">
        <v>70</v>
      </c>
      <c r="D2085" t="s">
        <v>12</v>
      </c>
      <c r="E2085" t="s">
        <v>217</v>
      </c>
      <c r="F2085" t="s">
        <v>4671</v>
      </c>
    </row>
    <row r="2086" spans="1:7" x14ac:dyDescent="0.55000000000000004">
      <c r="A2086" t="str">
        <f t="shared" si="70"/>
        <v>51</v>
      </c>
      <c r="B2086" t="str">
        <f>"51.2401"</f>
        <v>51.2401</v>
      </c>
      <c r="C2086" t="s">
        <v>70</v>
      </c>
      <c r="D2086" t="s">
        <v>12</v>
      </c>
      <c r="E2086" t="s">
        <v>217</v>
      </c>
      <c r="F2086" t="s">
        <v>4672</v>
      </c>
    </row>
    <row r="2087" spans="1:7" x14ac:dyDescent="0.55000000000000004">
      <c r="A2087" t="str">
        <f t="shared" si="70"/>
        <v>51</v>
      </c>
      <c r="B2087" t="str">
        <f>"51.25"</f>
        <v>51.25</v>
      </c>
      <c r="C2087" t="s">
        <v>70</v>
      </c>
      <c r="D2087" t="s">
        <v>12</v>
      </c>
      <c r="E2087" t="s">
        <v>221</v>
      </c>
      <c r="F2087" t="s">
        <v>4673</v>
      </c>
    </row>
    <row r="2088" spans="1:7" x14ac:dyDescent="0.55000000000000004">
      <c r="A2088" t="str">
        <f t="shared" si="70"/>
        <v>51</v>
      </c>
      <c r="B2088" t="str">
        <f>"51.2501"</f>
        <v>51.2501</v>
      </c>
      <c r="C2088" t="s">
        <v>70</v>
      </c>
      <c r="D2088" t="s">
        <v>12</v>
      </c>
      <c r="E2088" t="s">
        <v>223</v>
      </c>
      <c r="F2088" t="s">
        <v>4674</v>
      </c>
    </row>
    <row r="2089" spans="1:7" x14ac:dyDescent="0.55000000000000004">
      <c r="A2089" t="str">
        <f t="shared" si="70"/>
        <v>51</v>
      </c>
      <c r="B2089" t="str">
        <f>"51.2502"</f>
        <v>51.2502</v>
      </c>
      <c r="C2089" t="s">
        <v>70</v>
      </c>
      <c r="D2089" t="s">
        <v>12</v>
      </c>
      <c r="E2089" t="s">
        <v>235</v>
      </c>
      <c r="F2089" t="s">
        <v>4675</v>
      </c>
    </row>
    <row r="2090" spans="1:7" x14ac:dyDescent="0.55000000000000004">
      <c r="A2090" t="str">
        <f t="shared" si="70"/>
        <v>51</v>
      </c>
      <c r="B2090" t="str">
        <f>"51.2503"</f>
        <v>51.2503</v>
      </c>
      <c r="C2090" t="s">
        <v>70</v>
      </c>
      <c r="D2090" t="s">
        <v>12</v>
      </c>
      <c r="E2090" t="s">
        <v>247</v>
      </c>
      <c r="F2090" t="s">
        <v>4676</v>
      </c>
    </row>
    <row r="2091" spans="1:7" x14ac:dyDescent="0.55000000000000004">
      <c r="A2091" t="str">
        <f t="shared" si="70"/>
        <v>51</v>
      </c>
      <c r="B2091" t="str">
        <f>"51.2504"</f>
        <v>51.2504</v>
      </c>
      <c r="C2091" t="s">
        <v>70</v>
      </c>
      <c r="D2091" t="s">
        <v>12</v>
      </c>
      <c r="E2091" t="s">
        <v>241</v>
      </c>
      <c r="F2091" t="s">
        <v>4677</v>
      </c>
    </row>
    <row r="2092" spans="1:7" x14ac:dyDescent="0.55000000000000004">
      <c r="A2092" t="str">
        <f t="shared" si="70"/>
        <v>51</v>
      </c>
      <c r="B2092" t="str">
        <f>"51.2505"</f>
        <v>51.2505</v>
      </c>
      <c r="C2092" t="s">
        <v>70</v>
      </c>
      <c r="D2092" t="s">
        <v>12</v>
      </c>
      <c r="E2092" t="s">
        <v>244</v>
      </c>
      <c r="F2092" t="s">
        <v>4678</v>
      </c>
    </row>
    <row r="2093" spans="1:7" x14ac:dyDescent="0.55000000000000004">
      <c r="A2093" t="str">
        <f t="shared" si="70"/>
        <v>51</v>
      </c>
      <c r="B2093" t="str">
        <f>"51.2506"</f>
        <v>51.2506</v>
      </c>
      <c r="C2093" t="s">
        <v>70</v>
      </c>
      <c r="D2093" t="s">
        <v>12</v>
      </c>
      <c r="E2093" t="s">
        <v>253</v>
      </c>
      <c r="F2093" t="s">
        <v>4679</v>
      </c>
    </row>
    <row r="2094" spans="1:7" x14ac:dyDescent="0.55000000000000004">
      <c r="A2094" t="str">
        <f t="shared" si="70"/>
        <v>51</v>
      </c>
      <c r="B2094" t="str">
        <f>"51.2507"</f>
        <v>51.2507</v>
      </c>
      <c r="C2094" t="s">
        <v>70</v>
      </c>
      <c r="D2094" t="s">
        <v>12</v>
      </c>
      <c r="E2094" t="s">
        <v>229</v>
      </c>
      <c r="F2094" t="s">
        <v>4680</v>
      </c>
    </row>
    <row r="2095" spans="1:7" x14ac:dyDescent="0.55000000000000004">
      <c r="A2095" t="str">
        <f t="shared" si="70"/>
        <v>51</v>
      </c>
      <c r="B2095" t="str">
        <f>"51.2508"</f>
        <v>51.2508</v>
      </c>
      <c r="C2095" t="s">
        <v>70</v>
      </c>
      <c r="D2095" t="s">
        <v>12</v>
      </c>
      <c r="E2095" t="s">
        <v>232</v>
      </c>
      <c r="F2095" t="s">
        <v>4681</v>
      </c>
    </row>
    <row r="2096" spans="1:7" x14ac:dyDescent="0.55000000000000004">
      <c r="A2096" t="str">
        <f t="shared" si="70"/>
        <v>51</v>
      </c>
      <c r="B2096" t="str">
        <f>"51.2509"</f>
        <v>51.2509</v>
      </c>
      <c r="C2096" t="s">
        <v>70</v>
      </c>
      <c r="D2096" t="s">
        <v>12</v>
      </c>
      <c r="E2096" t="s">
        <v>226</v>
      </c>
      <c r="F2096" t="s">
        <v>4682</v>
      </c>
    </row>
    <row r="2097" spans="1:8" x14ac:dyDescent="0.55000000000000004">
      <c r="A2097" t="str">
        <f t="shared" si="70"/>
        <v>51</v>
      </c>
      <c r="B2097" t="str">
        <f>"51.2510"</f>
        <v>51.2510</v>
      </c>
      <c r="C2097" t="s">
        <v>70</v>
      </c>
      <c r="D2097" t="s">
        <v>12</v>
      </c>
      <c r="E2097" t="s">
        <v>250</v>
      </c>
      <c r="F2097" t="s">
        <v>4683</v>
      </c>
    </row>
    <row r="2098" spans="1:8" x14ac:dyDescent="0.55000000000000004">
      <c r="A2098" t="str">
        <f t="shared" si="70"/>
        <v>51</v>
      </c>
      <c r="B2098" t="str">
        <f>"51.2511"</f>
        <v>51.2511</v>
      </c>
      <c r="C2098" t="s">
        <v>70</v>
      </c>
      <c r="D2098" t="s">
        <v>12</v>
      </c>
      <c r="E2098" t="s">
        <v>238</v>
      </c>
      <c r="F2098" t="s">
        <v>4684</v>
      </c>
    </row>
    <row r="2099" spans="1:8" x14ac:dyDescent="0.55000000000000004">
      <c r="A2099" t="str">
        <f t="shared" si="70"/>
        <v>51</v>
      </c>
      <c r="B2099" t="str">
        <f>"51.2599"</f>
        <v>51.2599</v>
      </c>
      <c r="C2099" t="s">
        <v>70</v>
      </c>
      <c r="D2099" t="s">
        <v>12</v>
      </c>
      <c r="E2099" t="s">
        <v>256</v>
      </c>
      <c r="F2099" t="s">
        <v>4685</v>
      </c>
    </row>
    <row r="2100" spans="1:8" x14ac:dyDescent="0.55000000000000004">
      <c r="A2100" t="str">
        <f t="shared" si="70"/>
        <v>51</v>
      </c>
      <c r="B2100" t="str">
        <f>"51.26"</f>
        <v>51.26</v>
      </c>
      <c r="C2100" t="s">
        <v>8</v>
      </c>
      <c r="D2100" t="s">
        <v>12</v>
      </c>
      <c r="E2100" t="s">
        <v>4686</v>
      </c>
      <c r="F2100" t="s">
        <v>4687</v>
      </c>
    </row>
    <row r="2101" spans="1:8" x14ac:dyDescent="0.55000000000000004">
      <c r="A2101" t="str">
        <f t="shared" si="70"/>
        <v>51</v>
      </c>
      <c r="B2101" t="str">
        <f>"51.2601"</f>
        <v>51.2601</v>
      </c>
      <c r="C2101" t="s">
        <v>8</v>
      </c>
      <c r="D2101" t="s">
        <v>12</v>
      </c>
      <c r="E2101" t="s">
        <v>4688</v>
      </c>
      <c r="F2101" t="s">
        <v>4689</v>
      </c>
    </row>
    <row r="2102" spans="1:8" x14ac:dyDescent="0.55000000000000004">
      <c r="A2102" t="str">
        <f t="shared" si="70"/>
        <v>51</v>
      </c>
      <c r="B2102" t="str">
        <f>"51.2602"</f>
        <v>51.2602</v>
      </c>
      <c r="C2102" t="s">
        <v>8</v>
      </c>
      <c r="D2102" t="s">
        <v>12</v>
      </c>
      <c r="E2102" t="s">
        <v>4690</v>
      </c>
      <c r="F2102" t="s">
        <v>4691</v>
      </c>
    </row>
    <row r="2103" spans="1:8" x14ac:dyDescent="0.55000000000000004">
      <c r="A2103" t="str">
        <f t="shared" si="70"/>
        <v>51</v>
      </c>
      <c r="B2103" t="str">
        <f>"51.2603"</f>
        <v>51.2603</v>
      </c>
      <c r="C2103" t="s">
        <v>8</v>
      </c>
      <c r="D2103" t="s">
        <v>12</v>
      </c>
      <c r="E2103" t="s">
        <v>4692</v>
      </c>
      <c r="F2103" t="s">
        <v>4693</v>
      </c>
    </row>
    <row r="2104" spans="1:8" x14ac:dyDescent="0.55000000000000004">
      <c r="A2104" t="str">
        <f t="shared" si="70"/>
        <v>51</v>
      </c>
      <c r="B2104" t="str">
        <f>"51.2604"</f>
        <v>51.2604</v>
      </c>
      <c r="C2104" t="s">
        <v>8</v>
      </c>
      <c r="D2104" t="s">
        <v>9</v>
      </c>
      <c r="E2104" t="s">
        <v>4694</v>
      </c>
      <c r="F2104" t="s">
        <v>4695</v>
      </c>
    </row>
    <row r="2105" spans="1:8" x14ac:dyDescent="0.55000000000000004">
      <c r="A2105" t="str">
        <f t="shared" si="70"/>
        <v>51</v>
      </c>
      <c r="B2105" t="str">
        <f>"51.2605"</f>
        <v>51.2605</v>
      </c>
      <c r="C2105" t="s">
        <v>47</v>
      </c>
      <c r="D2105" t="s">
        <v>12</v>
      </c>
      <c r="E2105" t="s">
        <v>4696</v>
      </c>
      <c r="F2105" t="s">
        <v>4697</v>
      </c>
    </row>
    <row r="2106" spans="1:8" x14ac:dyDescent="0.55000000000000004">
      <c r="A2106" t="str">
        <f t="shared" si="70"/>
        <v>51</v>
      </c>
      <c r="B2106" t="str">
        <f>"51.2699"</f>
        <v>51.2699</v>
      </c>
      <c r="C2106" t="s">
        <v>8</v>
      </c>
      <c r="D2106" t="s">
        <v>12</v>
      </c>
      <c r="E2106" t="s">
        <v>4698</v>
      </c>
      <c r="F2106" t="s">
        <v>4699</v>
      </c>
    </row>
    <row r="2107" spans="1:8" x14ac:dyDescent="0.55000000000000004">
      <c r="A2107" t="str">
        <f t="shared" si="70"/>
        <v>51</v>
      </c>
      <c r="B2107" t="str">
        <f>"51.27"</f>
        <v>51.27</v>
      </c>
      <c r="C2107" t="s">
        <v>8</v>
      </c>
      <c r="D2107" t="s">
        <v>12</v>
      </c>
      <c r="E2107" t="s">
        <v>4700</v>
      </c>
      <c r="F2107" t="s">
        <v>4701</v>
      </c>
    </row>
    <row r="2108" spans="1:8" x14ac:dyDescent="0.55000000000000004">
      <c r="A2108" t="str">
        <f t="shared" si="70"/>
        <v>51</v>
      </c>
      <c r="B2108" t="str">
        <f>"51.2703"</f>
        <v>51.2703</v>
      </c>
      <c r="C2108" t="s">
        <v>8</v>
      </c>
      <c r="D2108" t="s">
        <v>12</v>
      </c>
      <c r="E2108" t="s">
        <v>4702</v>
      </c>
      <c r="F2108" t="s">
        <v>4703</v>
      </c>
    </row>
    <row r="2109" spans="1:8" x14ac:dyDescent="0.55000000000000004">
      <c r="A2109" t="str">
        <f t="shared" si="70"/>
        <v>51</v>
      </c>
      <c r="B2109" t="str">
        <f>"51.2706"</f>
        <v>51.2706</v>
      </c>
      <c r="C2109" t="s">
        <v>8</v>
      </c>
      <c r="D2109" t="s">
        <v>12</v>
      </c>
      <c r="E2109" t="s">
        <v>4704</v>
      </c>
      <c r="F2109" t="s">
        <v>4705</v>
      </c>
      <c r="G2109" t="s">
        <v>4706</v>
      </c>
      <c r="H2109" t="s">
        <v>4707</v>
      </c>
    </row>
    <row r="2110" spans="1:8" x14ac:dyDescent="0.55000000000000004">
      <c r="A2110" t="str">
        <f t="shared" si="70"/>
        <v>51</v>
      </c>
      <c r="B2110" t="str">
        <f>"51.2799"</f>
        <v>51.2799</v>
      </c>
      <c r="C2110" t="s">
        <v>8</v>
      </c>
      <c r="D2110" t="s">
        <v>12</v>
      </c>
      <c r="E2110" t="s">
        <v>4708</v>
      </c>
      <c r="F2110" t="s">
        <v>4709</v>
      </c>
    </row>
    <row r="2111" spans="1:8" x14ac:dyDescent="0.55000000000000004">
      <c r="A2111" t="str">
        <f t="shared" si="70"/>
        <v>51</v>
      </c>
      <c r="B2111" t="str">
        <f>"51.31"</f>
        <v>51.31</v>
      </c>
      <c r="C2111" t="s">
        <v>8</v>
      </c>
      <c r="D2111" t="s">
        <v>12</v>
      </c>
      <c r="E2111" t="s">
        <v>4710</v>
      </c>
      <c r="F2111" t="s">
        <v>4711</v>
      </c>
    </row>
    <row r="2112" spans="1:8" x14ac:dyDescent="0.55000000000000004">
      <c r="A2112" t="str">
        <f t="shared" si="70"/>
        <v>51</v>
      </c>
      <c r="B2112" t="str">
        <f>"51.3101"</f>
        <v>51.3101</v>
      </c>
      <c r="C2112" t="s">
        <v>8</v>
      </c>
      <c r="D2112" t="s">
        <v>12</v>
      </c>
      <c r="E2112" t="s">
        <v>4712</v>
      </c>
      <c r="F2112" t="s">
        <v>4713</v>
      </c>
      <c r="H2112" t="s">
        <v>4714</v>
      </c>
    </row>
    <row r="2113" spans="1:8" x14ac:dyDescent="0.55000000000000004">
      <c r="A2113" t="str">
        <f t="shared" si="70"/>
        <v>51</v>
      </c>
      <c r="B2113" t="str">
        <f>"51.3102"</f>
        <v>51.3102</v>
      </c>
      <c r="C2113" t="s">
        <v>8</v>
      </c>
      <c r="D2113" t="s">
        <v>12</v>
      </c>
      <c r="E2113" t="s">
        <v>4715</v>
      </c>
      <c r="F2113" t="s">
        <v>4716</v>
      </c>
      <c r="G2113" t="s">
        <v>4717</v>
      </c>
    </row>
    <row r="2114" spans="1:8" x14ac:dyDescent="0.55000000000000004">
      <c r="A2114" t="str">
        <f t="shared" si="70"/>
        <v>51</v>
      </c>
      <c r="B2114" t="str">
        <f>"51.3103"</f>
        <v>51.3103</v>
      </c>
      <c r="C2114" t="s">
        <v>8</v>
      </c>
      <c r="D2114" t="s">
        <v>12</v>
      </c>
      <c r="E2114" t="s">
        <v>4718</v>
      </c>
      <c r="F2114" t="s">
        <v>4719</v>
      </c>
      <c r="H2114" t="s">
        <v>4720</v>
      </c>
    </row>
    <row r="2115" spans="1:8" x14ac:dyDescent="0.55000000000000004">
      <c r="A2115" t="str">
        <f t="shared" si="70"/>
        <v>51</v>
      </c>
      <c r="B2115" t="str">
        <f>"51.3104"</f>
        <v>51.3104</v>
      </c>
      <c r="C2115" t="s">
        <v>8</v>
      </c>
      <c r="D2115" t="s">
        <v>12</v>
      </c>
      <c r="E2115" t="s">
        <v>4721</v>
      </c>
      <c r="F2115" t="s">
        <v>4722</v>
      </c>
    </row>
    <row r="2116" spans="1:8" x14ac:dyDescent="0.55000000000000004">
      <c r="A2116" t="str">
        <f t="shared" si="70"/>
        <v>51</v>
      </c>
      <c r="B2116" t="str">
        <f>"51.3199"</f>
        <v>51.3199</v>
      </c>
      <c r="C2116" t="s">
        <v>8</v>
      </c>
      <c r="D2116" t="s">
        <v>12</v>
      </c>
      <c r="E2116" t="s">
        <v>4723</v>
      </c>
      <c r="F2116" t="s">
        <v>4724</v>
      </c>
    </row>
    <row r="2117" spans="1:8" x14ac:dyDescent="0.55000000000000004">
      <c r="A2117" t="str">
        <f t="shared" si="70"/>
        <v>51</v>
      </c>
      <c r="B2117" t="str">
        <f>"51.32"</f>
        <v>51.32</v>
      </c>
      <c r="C2117" t="s">
        <v>8</v>
      </c>
      <c r="D2117" t="s">
        <v>9</v>
      </c>
      <c r="E2117" t="s">
        <v>4725</v>
      </c>
      <c r="F2117" t="s">
        <v>4726</v>
      </c>
    </row>
    <row r="2118" spans="1:8" x14ac:dyDescent="0.55000000000000004">
      <c r="A2118" t="str">
        <f t="shared" si="70"/>
        <v>51</v>
      </c>
      <c r="B2118" t="str">
        <f>"51.3201"</f>
        <v>51.3201</v>
      </c>
      <c r="C2118" t="s">
        <v>8</v>
      </c>
      <c r="D2118" t="s">
        <v>12</v>
      </c>
      <c r="E2118" t="s">
        <v>4727</v>
      </c>
      <c r="F2118" t="s">
        <v>4728</v>
      </c>
      <c r="G2118" t="s">
        <v>4729</v>
      </c>
    </row>
    <row r="2119" spans="1:8" x14ac:dyDescent="0.55000000000000004">
      <c r="A2119" t="str">
        <f t="shared" si="70"/>
        <v>51</v>
      </c>
      <c r="B2119" t="str">
        <f>"51.3202"</f>
        <v>51.3202</v>
      </c>
      <c r="C2119" t="s">
        <v>47</v>
      </c>
      <c r="D2119" t="s">
        <v>12</v>
      </c>
      <c r="E2119" t="s">
        <v>4730</v>
      </c>
      <c r="F2119" t="s">
        <v>4731</v>
      </c>
      <c r="G2119" t="s">
        <v>4732</v>
      </c>
      <c r="H2119" t="s">
        <v>4733</v>
      </c>
    </row>
    <row r="2120" spans="1:8" x14ac:dyDescent="0.55000000000000004">
      <c r="A2120" t="str">
        <f t="shared" si="70"/>
        <v>51</v>
      </c>
      <c r="B2120" t="str">
        <f>"51.3203"</f>
        <v>51.3203</v>
      </c>
      <c r="C2120" t="s">
        <v>173</v>
      </c>
      <c r="D2120" t="s">
        <v>12</v>
      </c>
      <c r="E2120" t="s">
        <v>4734</v>
      </c>
      <c r="F2120" t="s">
        <v>4735</v>
      </c>
    </row>
    <row r="2121" spans="1:8" x14ac:dyDescent="0.55000000000000004">
      <c r="A2121" t="str">
        <f t="shared" si="70"/>
        <v>51</v>
      </c>
      <c r="B2121" t="str">
        <f>"51.3204"</f>
        <v>51.3204</v>
      </c>
      <c r="C2121" t="s">
        <v>47</v>
      </c>
      <c r="D2121" t="s">
        <v>12</v>
      </c>
      <c r="E2121" t="s">
        <v>4736</v>
      </c>
      <c r="F2121" t="s">
        <v>4737</v>
      </c>
      <c r="H2121" t="s">
        <v>4738</v>
      </c>
    </row>
    <row r="2122" spans="1:8" x14ac:dyDescent="0.55000000000000004">
      <c r="A2122" t="str">
        <f t="shared" si="70"/>
        <v>51</v>
      </c>
      <c r="B2122" t="str">
        <f>"51.3205"</f>
        <v>51.3205</v>
      </c>
      <c r="C2122" t="s">
        <v>47</v>
      </c>
      <c r="D2122" t="s">
        <v>12</v>
      </c>
      <c r="E2122" t="s">
        <v>4739</v>
      </c>
      <c r="F2122" t="s">
        <v>4740</v>
      </c>
      <c r="G2122" t="s">
        <v>4741</v>
      </c>
    </row>
    <row r="2123" spans="1:8" x14ac:dyDescent="0.55000000000000004">
      <c r="A2123" t="str">
        <f t="shared" si="70"/>
        <v>51</v>
      </c>
      <c r="B2123" t="str">
        <f>"51.3206"</f>
        <v>51.3206</v>
      </c>
      <c r="C2123" t="s">
        <v>47</v>
      </c>
      <c r="D2123" t="s">
        <v>12</v>
      </c>
      <c r="E2123" t="s">
        <v>4742</v>
      </c>
      <c r="F2123" t="s">
        <v>4743</v>
      </c>
      <c r="H2123" t="s">
        <v>4744</v>
      </c>
    </row>
    <row r="2124" spans="1:8" x14ac:dyDescent="0.55000000000000004">
      <c r="A2124" t="str">
        <f t="shared" si="70"/>
        <v>51</v>
      </c>
      <c r="B2124" t="str">
        <f>"51.3299"</f>
        <v>51.3299</v>
      </c>
      <c r="C2124" t="s">
        <v>47</v>
      </c>
      <c r="D2124" t="s">
        <v>12</v>
      </c>
      <c r="E2124" t="s">
        <v>4745</v>
      </c>
      <c r="F2124" t="s">
        <v>4746</v>
      </c>
      <c r="G2124" t="s">
        <v>4747</v>
      </c>
    </row>
    <row r="2125" spans="1:8" x14ac:dyDescent="0.55000000000000004">
      <c r="A2125" t="str">
        <f t="shared" si="70"/>
        <v>51</v>
      </c>
      <c r="B2125" t="str">
        <f>"51.33"</f>
        <v>51.33</v>
      </c>
      <c r="C2125" t="s">
        <v>8</v>
      </c>
      <c r="D2125" t="s">
        <v>12</v>
      </c>
      <c r="E2125" t="s">
        <v>4748</v>
      </c>
      <c r="F2125" t="s">
        <v>4749</v>
      </c>
    </row>
    <row r="2126" spans="1:8" x14ac:dyDescent="0.55000000000000004">
      <c r="A2126" t="str">
        <f t="shared" ref="A2126:A2185" si="71">"51"</f>
        <v>51</v>
      </c>
      <c r="B2126" t="str">
        <f>"51.3300"</f>
        <v>51.3300</v>
      </c>
      <c r="C2126" t="s">
        <v>8</v>
      </c>
      <c r="D2126" t="s">
        <v>12</v>
      </c>
      <c r="E2126" t="s">
        <v>4750</v>
      </c>
      <c r="F2126" t="s">
        <v>4751</v>
      </c>
    </row>
    <row r="2127" spans="1:8" x14ac:dyDescent="0.55000000000000004">
      <c r="A2127" t="str">
        <f t="shared" si="71"/>
        <v>51</v>
      </c>
      <c r="B2127" t="str">
        <f>"51.3301"</f>
        <v>51.3301</v>
      </c>
      <c r="C2127" t="s">
        <v>8</v>
      </c>
      <c r="D2127" t="s">
        <v>12</v>
      </c>
      <c r="E2127" t="s">
        <v>4752</v>
      </c>
      <c r="F2127" t="s">
        <v>4753</v>
      </c>
      <c r="H2127" t="s">
        <v>4754</v>
      </c>
    </row>
    <row r="2128" spans="1:8" x14ac:dyDescent="0.55000000000000004">
      <c r="A2128" t="str">
        <f t="shared" si="71"/>
        <v>51</v>
      </c>
      <c r="B2128" t="str">
        <f>"51.3302"</f>
        <v>51.3302</v>
      </c>
      <c r="C2128" t="s">
        <v>8</v>
      </c>
      <c r="D2128" t="s">
        <v>12</v>
      </c>
      <c r="E2128" t="s">
        <v>4755</v>
      </c>
      <c r="F2128" t="s">
        <v>4756</v>
      </c>
    </row>
    <row r="2129" spans="1:8" x14ac:dyDescent="0.55000000000000004">
      <c r="A2129" t="str">
        <f t="shared" si="71"/>
        <v>51</v>
      </c>
      <c r="B2129" t="str">
        <f>"51.3303"</f>
        <v>51.3303</v>
      </c>
      <c r="C2129" t="s">
        <v>8</v>
      </c>
      <c r="D2129" t="s">
        <v>12</v>
      </c>
      <c r="E2129" t="s">
        <v>4757</v>
      </c>
      <c r="F2129" t="s">
        <v>4758</v>
      </c>
      <c r="H2129" t="s">
        <v>4759</v>
      </c>
    </row>
    <row r="2130" spans="1:8" x14ac:dyDescent="0.55000000000000004">
      <c r="A2130" t="str">
        <f t="shared" si="71"/>
        <v>51</v>
      </c>
      <c r="B2130" t="str">
        <f>"51.3304"</f>
        <v>51.3304</v>
      </c>
      <c r="C2130" t="s">
        <v>8</v>
      </c>
      <c r="D2130" t="s">
        <v>12</v>
      </c>
      <c r="E2130" t="s">
        <v>4760</v>
      </c>
      <c r="F2130" t="s">
        <v>4761</v>
      </c>
    </row>
    <row r="2131" spans="1:8" x14ac:dyDescent="0.55000000000000004">
      <c r="A2131" t="str">
        <f t="shared" si="71"/>
        <v>51</v>
      </c>
      <c r="B2131" t="str">
        <f>"51.3305"</f>
        <v>51.3305</v>
      </c>
      <c r="C2131" t="s">
        <v>8</v>
      </c>
      <c r="D2131" t="s">
        <v>12</v>
      </c>
      <c r="E2131" t="s">
        <v>4762</v>
      </c>
      <c r="F2131" t="s">
        <v>4763</v>
      </c>
    </row>
    <row r="2132" spans="1:8" x14ac:dyDescent="0.55000000000000004">
      <c r="A2132" t="str">
        <f t="shared" si="71"/>
        <v>51</v>
      </c>
      <c r="B2132" t="str">
        <f>"51.3306"</f>
        <v>51.3306</v>
      </c>
      <c r="C2132" t="s">
        <v>8</v>
      </c>
      <c r="D2132" t="s">
        <v>9</v>
      </c>
      <c r="E2132" t="s">
        <v>4764</v>
      </c>
      <c r="F2132" t="s">
        <v>4765</v>
      </c>
    </row>
    <row r="2133" spans="1:8" x14ac:dyDescent="0.55000000000000004">
      <c r="A2133" t="str">
        <f t="shared" si="71"/>
        <v>51</v>
      </c>
      <c r="B2133" t="str">
        <f>"51.3399"</f>
        <v>51.3399</v>
      </c>
      <c r="C2133" t="s">
        <v>8</v>
      </c>
      <c r="D2133" t="s">
        <v>12</v>
      </c>
      <c r="E2133" t="s">
        <v>4766</v>
      </c>
      <c r="F2133" t="s">
        <v>4767</v>
      </c>
    </row>
    <row r="2134" spans="1:8" x14ac:dyDescent="0.55000000000000004">
      <c r="A2134" t="str">
        <f t="shared" si="71"/>
        <v>51</v>
      </c>
      <c r="B2134" t="str">
        <f>"51.34"</f>
        <v>51.34</v>
      </c>
      <c r="C2134" t="s">
        <v>8</v>
      </c>
      <c r="D2134" t="s">
        <v>12</v>
      </c>
      <c r="E2134" t="s">
        <v>4768</v>
      </c>
      <c r="F2134" t="s">
        <v>4769</v>
      </c>
    </row>
    <row r="2135" spans="1:8" x14ac:dyDescent="0.55000000000000004">
      <c r="A2135" t="str">
        <f t="shared" si="71"/>
        <v>51</v>
      </c>
      <c r="B2135" t="str">
        <f>"51.3401"</f>
        <v>51.3401</v>
      </c>
      <c r="C2135" t="s">
        <v>8</v>
      </c>
      <c r="D2135" t="s">
        <v>12</v>
      </c>
      <c r="E2135" t="s">
        <v>4770</v>
      </c>
      <c r="F2135" t="s">
        <v>4771</v>
      </c>
      <c r="H2135" t="s">
        <v>4772</v>
      </c>
    </row>
    <row r="2136" spans="1:8" x14ac:dyDescent="0.55000000000000004">
      <c r="A2136" t="str">
        <f t="shared" si="71"/>
        <v>51</v>
      </c>
      <c r="B2136" t="str">
        <f>"51.3499"</f>
        <v>51.3499</v>
      </c>
      <c r="C2136" t="s">
        <v>8</v>
      </c>
      <c r="D2136" t="s">
        <v>12</v>
      </c>
      <c r="E2136" t="s">
        <v>4773</v>
      </c>
      <c r="F2136" t="s">
        <v>4774</v>
      </c>
    </row>
    <row r="2137" spans="1:8" x14ac:dyDescent="0.55000000000000004">
      <c r="A2137" t="str">
        <f t="shared" si="71"/>
        <v>51</v>
      </c>
      <c r="B2137" t="str">
        <f>"51.35"</f>
        <v>51.35</v>
      </c>
      <c r="C2137" t="s">
        <v>8</v>
      </c>
      <c r="D2137" t="s">
        <v>12</v>
      </c>
      <c r="E2137" t="s">
        <v>4775</v>
      </c>
      <c r="F2137" t="s">
        <v>4776</v>
      </c>
    </row>
    <row r="2138" spans="1:8" x14ac:dyDescent="0.55000000000000004">
      <c r="A2138" t="str">
        <f t="shared" si="71"/>
        <v>51</v>
      </c>
      <c r="B2138" t="str">
        <f>"51.3501"</f>
        <v>51.3501</v>
      </c>
      <c r="C2138" t="s">
        <v>8</v>
      </c>
      <c r="D2138" t="s">
        <v>12</v>
      </c>
      <c r="E2138" t="s">
        <v>4777</v>
      </c>
      <c r="F2138" t="s">
        <v>4778</v>
      </c>
    </row>
    <row r="2139" spans="1:8" x14ac:dyDescent="0.55000000000000004">
      <c r="A2139" t="str">
        <f t="shared" si="71"/>
        <v>51</v>
      </c>
      <c r="B2139" t="str">
        <f>"51.3502"</f>
        <v>51.3502</v>
      </c>
      <c r="C2139" t="s">
        <v>8</v>
      </c>
      <c r="D2139" t="s">
        <v>12</v>
      </c>
      <c r="E2139" t="s">
        <v>4779</v>
      </c>
      <c r="F2139" t="s">
        <v>4780</v>
      </c>
    </row>
    <row r="2140" spans="1:8" x14ac:dyDescent="0.55000000000000004">
      <c r="A2140" t="str">
        <f t="shared" si="71"/>
        <v>51</v>
      </c>
      <c r="B2140" t="str">
        <f>"51.3503"</f>
        <v>51.3503</v>
      </c>
      <c r="C2140" t="s">
        <v>8</v>
      </c>
      <c r="D2140" t="s">
        <v>12</v>
      </c>
      <c r="E2140" t="s">
        <v>4781</v>
      </c>
      <c r="F2140" t="s">
        <v>4782</v>
      </c>
    </row>
    <row r="2141" spans="1:8" x14ac:dyDescent="0.55000000000000004">
      <c r="A2141" t="str">
        <f t="shared" si="71"/>
        <v>51</v>
      </c>
      <c r="B2141" t="str">
        <f>"51.3599"</f>
        <v>51.3599</v>
      </c>
      <c r="C2141" t="s">
        <v>8</v>
      </c>
      <c r="D2141" t="s">
        <v>12</v>
      </c>
      <c r="E2141" t="s">
        <v>4783</v>
      </c>
      <c r="F2141" t="s">
        <v>4784</v>
      </c>
    </row>
    <row r="2142" spans="1:8" x14ac:dyDescent="0.55000000000000004">
      <c r="A2142" t="str">
        <f t="shared" si="71"/>
        <v>51</v>
      </c>
      <c r="B2142" t="str">
        <f>"51.36"</f>
        <v>51.36</v>
      </c>
      <c r="C2142" t="s">
        <v>8</v>
      </c>
      <c r="D2142" t="s">
        <v>12</v>
      </c>
      <c r="E2142" t="s">
        <v>4785</v>
      </c>
      <c r="F2142" t="s">
        <v>4786</v>
      </c>
    </row>
    <row r="2143" spans="1:8" x14ac:dyDescent="0.55000000000000004">
      <c r="A2143" t="str">
        <f t="shared" si="71"/>
        <v>51</v>
      </c>
      <c r="B2143" t="str">
        <f>"51.3601"</f>
        <v>51.3601</v>
      </c>
      <c r="C2143" t="s">
        <v>8</v>
      </c>
      <c r="D2143" t="s">
        <v>12</v>
      </c>
      <c r="E2143" t="s">
        <v>4787</v>
      </c>
      <c r="F2143" t="s">
        <v>4788</v>
      </c>
      <c r="G2143" t="s">
        <v>4789</v>
      </c>
    </row>
    <row r="2144" spans="1:8" x14ac:dyDescent="0.55000000000000004">
      <c r="A2144" t="str">
        <f t="shared" si="71"/>
        <v>51</v>
      </c>
      <c r="B2144" t="str">
        <f>"51.3602"</f>
        <v>51.3602</v>
      </c>
      <c r="C2144" t="s">
        <v>8</v>
      </c>
      <c r="D2144" t="s">
        <v>12</v>
      </c>
      <c r="E2144" t="s">
        <v>4790</v>
      </c>
      <c r="F2144" t="s">
        <v>4791</v>
      </c>
    </row>
    <row r="2145" spans="1:8" x14ac:dyDescent="0.55000000000000004">
      <c r="A2145" t="str">
        <f t="shared" si="71"/>
        <v>51</v>
      </c>
      <c r="B2145" t="str">
        <f>"51.3603"</f>
        <v>51.3603</v>
      </c>
      <c r="C2145" t="s">
        <v>8</v>
      </c>
      <c r="D2145" t="s">
        <v>12</v>
      </c>
      <c r="E2145" t="s">
        <v>4792</v>
      </c>
      <c r="F2145" t="s">
        <v>4793</v>
      </c>
    </row>
    <row r="2146" spans="1:8" x14ac:dyDescent="0.55000000000000004">
      <c r="A2146" t="str">
        <f t="shared" si="71"/>
        <v>51</v>
      </c>
      <c r="B2146" t="str">
        <f>"51.3699"</f>
        <v>51.3699</v>
      </c>
      <c r="C2146" t="s">
        <v>8</v>
      </c>
      <c r="D2146" t="s">
        <v>12</v>
      </c>
      <c r="E2146" t="s">
        <v>4794</v>
      </c>
      <c r="F2146" t="s">
        <v>4795</v>
      </c>
    </row>
    <row r="2147" spans="1:8" x14ac:dyDescent="0.55000000000000004">
      <c r="A2147" t="str">
        <f t="shared" si="71"/>
        <v>51</v>
      </c>
      <c r="B2147" t="str">
        <f>"51.37"</f>
        <v>51.37</v>
      </c>
      <c r="C2147" t="s">
        <v>8</v>
      </c>
      <c r="D2147" t="s">
        <v>12</v>
      </c>
      <c r="E2147" t="s">
        <v>4796</v>
      </c>
      <c r="F2147" t="s">
        <v>4797</v>
      </c>
    </row>
    <row r="2148" spans="1:8" x14ac:dyDescent="0.55000000000000004">
      <c r="A2148" t="str">
        <f t="shared" si="71"/>
        <v>51</v>
      </c>
      <c r="B2148" t="str">
        <f>"51.3701"</f>
        <v>51.3701</v>
      </c>
      <c r="C2148" t="s">
        <v>8</v>
      </c>
      <c r="D2148" t="s">
        <v>12</v>
      </c>
      <c r="E2148" t="s">
        <v>4798</v>
      </c>
      <c r="F2148" t="s">
        <v>4799</v>
      </c>
    </row>
    <row r="2149" spans="1:8" x14ac:dyDescent="0.55000000000000004">
      <c r="A2149" t="str">
        <f t="shared" si="71"/>
        <v>51</v>
      </c>
      <c r="B2149" t="str">
        <f>"51.3702"</f>
        <v>51.3702</v>
      </c>
      <c r="C2149" t="s">
        <v>8</v>
      </c>
      <c r="D2149" t="s">
        <v>12</v>
      </c>
      <c r="E2149" t="s">
        <v>4800</v>
      </c>
      <c r="F2149" t="s">
        <v>4801</v>
      </c>
    </row>
    <row r="2150" spans="1:8" x14ac:dyDescent="0.55000000000000004">
      <c r="A2150" t="str">
        <f t="shared" si="71"/>
        <v>51</v>
      </c>
      <c r="B2150" t="str">
        <f>"51.3703"</f>
        <v>51.3703</v>
      </c>
      <c r="C2150" t="s">
        <v>8</v>
      </c>
      <c r="D2150" t="s">
        <v>12</v>
      </c>
      <c r="E2150" t="s">
        <v>4802</v>
      </c>
      <c r="F2150" t="s">
        <v>4803</v>
      </c>
    </row>
    <row r="2151" spans="1:8" x14ac:dyDescent="0.55000000000000004">
      <c r="A2151" t="str">
        <f t="shared" si="71"/>
        <v>51</v>
      </c>
      <c r="B2151" t="str">
        <f>"51.3704"</f>
        <v>51.3704</v>
      </c>
      <c r="C2151" t="s">
        <v>8</v>
      </c>
      <c r="D2151" t="s">
        <v>12</v>
      </c>
      <c r="E2151" t="s">
        <v>4804</v>
      </c>
      <c r="F2151" t="s">
        <v>4805</v>
      </c>
    </row>
    <row r="2152" spans="1:8" x14ac:dyDescent="0.55000000000000004">
      <c r="A2152" t="str">
        <f t="shared" si="71"/>
        <v>51</v>
      </c>
      <c r="B2152" t="str">
        <f>"51.3799"</f>
        <v>51.3799</v>
      </c>
      <c r="C2152" t="s">
        <v>8</v>
      </c>
      <c r="D2152" t="s">
        <v>12</v>
      </c>
      <c r="E2152" t="s">
        <v>4806</v>
      </c>
      <c r="F2152" t="s">
        <v>4807</v>
      </c>
    </row>
    <row r="2153" spans="1:8" x14ac:dyDescent="0.55000000000000004">
      <c r="A2153" t="str">
        <f t="shared" si="71"/>
        <v>51</v>
      </c>
      <c r="B2153" t="str">
        <f>"51.38"</f>
        <v>51.38</v>
      </c>
      <c r="C2153" t="s">
        <v>8</v>
      </c>
      <c r="D2153" t="s">
        <v>12</v>
      </c>
      <c r="E2153" t="s">
        <v>4808</v>
      </c>
      <c r="F2153" t="s">
        <v>4809</v>
      </c>
    </row>
    <row r="2154" spans="1:8" x14ac:dyDescent="0.55000000000000004">
      <c r="A2154" t="str">
        <f t="shared" si="71"/>
        <v>51</v>
      </c>
      <c r="B2154" t="str">
        <f>"51.3801"</f>
        <v>51.3801</v>
      </c>
      <c r="C2154" t="s">
        <v>8</v>
      </c>
      <c r="D2154" t="s">
        <v>12</v>
      </c>
      <c r="E2154" t="s">
        <v>4810</v>
      </c>
      <c r="F2154" t="s">
        <v>4811</v>
      </c>
      <c r="H2154" t="s">
        <v>4812</v>
      </c>
    </row>
    <row r="2155" spans="1:8" x14ac:dyDescent="0.55000000000000004">
      <c r="A2155" t="str">
        <f t="shared" si="71"/>
        <v>51</v>
      </c>
      <c r="B2155" t="str">
        <f>"51.3802"</f>
        <v>51.3802</v>
      </c>
      <c r="C2155" t="s">
        <v>8</v>
      </c>
      <c r="D2155" t="s">
        <v>12</v>
      </c>
      <c r="E2155" t="s">
        <v>4813</v>
      </c>
      <c r="F2155" t="s">
        <v>4814</v>
      </c>
      <c r="H2155" t="s">
        <v>4815</v>
      </c>
    </row>
    <row r="2156" spans="1:8" x14ac:dyDescent="0.55000000000000004">
      <c r="A2156" t="str">
        <f t="shared" si="71"/>
        <v>51</v>
      </c>
      <c r="B2156" t="str">
        <f>"51.3803"</f>
        <v>51.3803</v>
      </c>
      <c r="C2156" t="s">
        <v>8</v>
      </c>
      <c r="D2156" t="s">
        <v>12</v>
      </c>
      <c r="E2156" t="s">
        <v>4816</v>
      </c>
      <c r="F2156" t="s">
        <v>4817</v>
      </c>
      <c r="H2156" t="s">
        <v>4818</v>
      </c>
    </row>
    <row r="2157" spans="1:8" x14ac:dyDescent="0.55000000000000004">
      <c r="A2157" t="str">
        <f t="shared" si="71"/>
        <v>51</v>
      </c>
      <c r="B2157" t="str">
        <f>"51.3804"</f>
        <v>51.3804</v>
      </c>
      <c r="C2157" t="s">
        <v>8</v>
      </c>
      <c r="D2157" t="s">
        <v>12</v>
      </c>
      <c r="E2157" t="s">
        <v>4819</v>
      </c>
      <c r="F2157" t="s">
        <v>4820</v>
      </c>
    </row>
    <row r="2158" spans="1:8" x14ac:dyDescent="0.55000000000000004">
      <c r="A2158" t="str">
        <f t="shared" si="71"/>
        <v>51</v>
      </c>
      <c r="B2158" t="str">
        <f>"51.3805"</f>
        <v>51.3805</v>
      </c>
      <c r="C2158" t="s">
        <v>8</v>
      </c>
      <c r="D2158" t="s">
        <v>12</v>
      </c>
      <c r="E2158" t="s">
        <v>4821</v>
      </c>
      <c r="F2158" t="s">
        <v>4822</v>
      </c>
      <c r="H2158" t="s">
        <v>4823</v>
      </c>
    </row>
    <row r="2159" spans="1:8" x14ac:dyDescent="0.55000000000000004">
      <c r="A2159" t="str">
        <f t="shared" si="71"/>
        <v>51</v>
      </c>
      <c r="B2159" t="str">
        <f>"51.3806"</f>
        <v>51.3806</v>
      </c>
      <c r="C2159" t="s">
        <v>8</v>
      </c>
      <c r="D2159" t="s">
        <v>12</v>
      </c>
      <c r="E2159" t="s">
        <v>4824</v>
      </c>
      <c r="F2159" t="s">
        <v>4825</v>
      </c>
      <c r="H2159" t="s">
        <v>4826</v>
      </c>
    </row>
    <row r="2160" spans="1:8" x14ac:dyDescent="0.55000000000000004">
      <c r="A2160" t="str">
        <f t="shared" si="71"/>
        <v>51</v>
      </c>
      <c r="B2160" t="str">
        <f>"51.3807"</f>
        <v>51.3807</v>
      </c>
      <c r="C2160" t="s">
        <v>8</v>
      </c>
      <c r="D2160" t="s">
        <v>12</v>
      </c>
      <c r="E2160" t="s">
        <v>4827</v>
      </c>
      <c r="F2160" t="s">
        <v>4828</v>
      </c>
    </row>
    <row r="2161" spans="1:8" x14ac:dyDescent="0.55000000000000004">
      <c r="A2161" t="str">
        <f t="shared" si="71"/>
        <v>51</v>
      </c>
      <c r="B2161" t="str">
        <f>"51.3808"</f>
        <v>51.3808</v>
      </c>
      <c r="C2161" t="s">
        <v>8</v>
      </c>
      <c r="D2161" t="s">
        <v>12</v>
      </c>
      <c r="E2161" t="s">
        <v>4829</v>
      </c>
      <c r="F2161" t="s">
        <v>4830</v>
      </c>
      <c r="H2161" t="s">
        <v>4831</v>
      </c>
    </row>
    <row r="2162" spans="1:8" x14ac:dyDescent="0.55000000000000004">
      <c r="A2162" t="str">
        <f t="shared" si="71"/>
        <v>51</v>
      </c>
      <c r="B2162" t="str">
        <f>"51.3809"</f>
        <v>51.3809</v>
      </c>
      <c r="C2162" t="s">
        <v>8</v>
      </c>
      <c r="D2162" t="s">
        <v>12</v>
      </c>
      <c r="E2162" t="s">
        <v>4832</v>
      </c>
      <c r="F2162" t="s">
        <v>4833</v>
      </c>
      <c r="H2162" t="s">
        <v>4834</v>
      </c>
    </row>
    <row r="2163" spans="1:8" x14ac:dyDescent="0.55000000000000004">
      <c r="A2163" t="str">
        <f t="shared" si="71"/>
        <v>51</v>
      </c>
      <c r="B2163" t="str">
        <f>"51.3810"</f>
        <v>51.3810</v>
      </c>
      <c r="C2163" t="s">
        <v>8</v>
      </c>
      <c r="D2163" t="s">
        <v>12</v>
      </c>
      <c r="E2163" t="s">
        <v>4835</v>
      </c>
      <c r="F2163" t="s">
        <v>4836</v>
      </c>
      <c r="H2163" t="s">
        <v>4837</v>
      </c>
    </row>
    <row r="2164" spans="1:8" x14ac:dyDescent="0.55000000000000004">
      <c r="A2164" t="str">
        <f t="shared" si="71"/>
        <v>51</v>
      </c>
      <c r="B2164" t="str">
        <f>"51.3811"</f>
        <v>51.3811</v>
      </c>
      <c r="C2164" t="s">
        <v>8</v>
      </c>
      <c r="D2164" t="s">
        <v>12</v>
      </c>
      <c r="E2164" t="s">
        <v>4838</v>
      </c>
      <c r="F2164" t="s">
        <v>4839</v>
      </c>
    </row>
    <row r="2165" spans="1:8" x14ac:dyDescent="0.55000000000000004">
      <c r="A2165" t="str">
        <f t="shared" si="71"/>
        <v>51</v>
      </c>
      <c r="B2165" t="str">
        <f>"51.3812"</f>
        <v>51.3812</v>
      </c>
      <c r="C2165" t="s">
        <v>8</v>
      </c>
      <c r="D2165" t="s">
        <v>12</v>
      </c>
      <c r="E2165" t="s">
        <v>4840</v>
      </c>
      <c r="F2165" t="s">
        <v>4841</v>
      </c>
    </row>
    <row r="2166" spans="1:8" x14ac:dyDescent="0.55000000000000004">
      <c r="A2166" t="str">
        <f t="shared" si="71"/>
        <v>51</v>
      </c>
      <c r="B2166" t="str">
        <f>"51.3813"</f>
        <v>51.3813</v>
      </c>
      <c r="C2166" t="s">
        <v>8</v>
      </c>
      <c r="D2166" t="s">
        <v>12</v>
      </c>
      <c r="E2166" t="s">
        <v>4842</v>
      </c>
      <c r="F2166" t="s">
        <v>4843</v>
      </c>
    </row>
    <row r="2167" spans="1:8" x14ac:dyDescent="0.55000000000000004">
      <c r="A2167" t="str">
        <f t="shared" si="71"/>
        <v>51</v>
      </c>
      <c r="B2167" t="str">
        <f>"51.3814"</f>
        <v>51.3814</v>
      </c>
      <c r="C2167" t="s">
        <v>8</v>
      </c>
      <c r="D2167" t="s">
        <v>12</v>
      </c>
      <c r="E2167" t="s">
        <v>4844</v>
      </c>
      <c r="F2167" t="s">
        <v>4845</v>
      </c>
      <c r="H2167" t="s">
        <v>4846</v>
      </c>
    </row>
    <row r="2168" spans="1:8" x14ac:dyDescent="0.55000000000000004">
      <c r="A2168" t="str">
        <f t="shared" si="71"/>
        <v>51</v>
      </c>
      <c r="B2168" t="str">
        <f>"51.3815"</f>
        <v>51.3815</v>
      </c>
      <c r="C2168" t="s">
        <v>8</v>
      </c>
      <c r="D2168" t="s">
        <v>12</v>
      </c>
      <c r="E2168" t="s">
        <v>4847</v>
      </c>
      <c r="F2168" t="s">
        <v>4848</v>
      </c>
    </row>
    <row r="2169" spans="1:8" x14ac:dyDescent="0.55000000000000004">
      <c r="A2169" t="str">
        <f t="shared" si="71"/>
        <v>51</v>
      </c>
      <c r="B2169" t="str">
        <f>"51.3816"</f>
        <v>51.3816</v>
      </c>
      <c r="C2169" t="s">
        <v>8</v>
      </c>
      <c r="D2169" t="s">
        <v>12</v>
      </c>
      <c r="E2169" t="s">
        <v>4849</v>
      </c>
      <c r="F2169" t="s">
        <v>4850</v>
      </c>
      <c r="H2169" t="s">
        <v>4851</v>
      </c>
    </row>
    <row r="2170" spans="1:8" x14ac:dyDescent="0.55000000000000004">
      <c r="A2170" t="str">
        <f t="shared" si="71"/>
        <v>51</v>
      </c>
      <c r="B2170" t="str">
        <f>"51.3817"</f>
        <v>51.3817</v>
      </c>
      <c r="C2170" t="s">
        <v>70</v>
      </c>
      <c r="D2170" t="s">
        <v>12</v>
      </c>
      <c r="E2170" t="s">
        <v>4734</v>
      </c>
      <c r="F2170" t="s">
        <v>4852</v>
      </c>
    </row>
    <row r="2171" spans="1:8" x14ac:dyDescent="0.55000000000000004">
      <c r="A2171" t="str">
        <f t="shared" si="71"/>
        <v>51</v>
      </c>
      <c r="B2171" t="str">
        <f>"51.3818"</f>
        <v>51.3818</v>
      </c>
      <c r="C2171" t="s">
        <v>8</v>
      </c>
      <c r="D2171" t="s">
        <v>12</v>
      </c>
      <c r="E2171" t="s">
        <v>4853</v>
      </c>
      <c r="F2171" t="s">
        <v>4854</v>
      </c>
      <c r="H2171" t="s">
        <v>4855</v>
      </c>
    </row>
    <row r="2172" spans="1:8" x14ac:dyDescent="0.55000000000000004">
      <c r="A2172" t="str">
        <f t="shared" si="71"/>
        <v>51</v>
      </c>
      <c r="B2172" t="str">
        <f>"51.3819"</f>
        <v>51.3819</v>
      </c>
      <c r="C2172" t="s">
        <v>8</v>
      </c>
      <c r="D2172" t="s">
        <v>12</v>
      </c>
      <c r="E2172" t="s">
        <v>4856</v>
      </c>
      <c r="F2172" t="s">
        <v>4857</v>
      </c>
    </row>
    <row r="2173" spans="1:8" x14ac:dyDescent="0.55000000000000004">
      <c r="A2173" t="str">
        <f t="shared" si="71"/>
        <v>51</v>
      </c>
      <c r="B2173" t="str">
        <f>"51.3820"</f>
        <v>51.3820</v>
      </c>
      <c r="C2173" t="s">
        <v>8</v>
      </c>
      <c r="D2173" t="s">
        <v>12</v>
      </c>
      <c r="E2173" t="s">
        <v>4858</v>
      </c>
      <c r="F2173" t="s">
        <v>4859</v>
      </c>
    </row>
    <row r="2174" spans="1:8" x14ac:dyDescent="0.55000000000000004">
      <c r="A2174" t="str">
        <f t="shared" si="71"/>
        <v>51</v>
      </c>
      <c r="B2174" t="str">
        <f>"51.3821"</f>
        <v>51.3821</v>
      </c>
      <c r="C2174" t="s">
        <v>8</v>
      </c>
      <c r="D2174" t="s">
        <v>12</v>
      </c>
      <c r="E2174" t="s">
        <v>4860</v>
      </c>
      <c r="F2174" t="s">
        <v>4861</v>
      </c>
      <c r="H2174" t="s">
        <v>4862</v>
      </c>
    </row>
    <row r="2175" spans="1:8" x14ac:dyDescent="0.55000000000000004">
      <c r="A2175" t="str">
        <f t="shared" si="71"/>
        <v>51</v>
      </c>
      <c r="B2175" t="str">
        <f>"51.3822"</f>
        <v>51.3822</v>
      </c>
      <c r="C2175" t="s">
        <v>8</v>
      </c>
      <c r="D2175" t="s">
        <v>12</v>
      </c>
      <c r="E2175" t="s">
        <v>4863</v>
      </c>
      <c r="F2175" t="s">
        <v>4864</v>
      </c>
      <c r="H2175" t="s">
        <v>4865</v>
      </c>
    </row>
    <row r="2176" spans="1:8" x14ac:dyDescent="0.55000000000000004">
      <c r="A2176" t="str">
        <f t="shared" si="71"/>
        <v>51</v>
      </c>
      <c r="B2176" t="str">
        <f>"51.3823"</f>
        <v>51.3823</v>
      </c>
      <c r="C2176" t="s">
        <v>47</v>
      </c>
      <c r="D2176" t="s">
        <v>12</v>
      </c>
      <c r="E2176" t="s">
        <v>82</v>
      </c>
      <c r="F2176" t="s">
        <v>83</v>
      </c>
    </row>
    <row r="2177" spans="1:8" x14ac:dyDescent="0.55000000000000004">
      <c r="A2177" t="str">
        <f t="shared" si="71"/>
        <v>51</v>
      </c>
      <c r="B2177" t="str">
        <f>"51.3824"</f>
        <v>51.3824</v>
      </c>
      <c r="C2177" t="s">
        <v>47</v>
      </c>
      <c r="D2177" t="s">
        <v>12</v>
      </c>
      <c r="E2177" t="s">
        <v>4866</v>
      </c>
      <c r="F2177" t="s">
        <v>4867</v>
      </c>
    </row>
    <row r="2178" spans="1:8" x14ac:dyDescent="0.55000000000000004">
      <c r="A2178" t="str">
        <f t="shared" si="71"/>
        <v>51</v>
      </c>
      <c r="B2178" t="str">
        <f>"51.3899"</f>
        <v>51.3899</v>
      </c>
      <c r="C2178" t="s">
        <v>8</v>
      </c>
      <c r="D2178" t="s">
        <v>12</v>
      </c>
      <c r="E2178" t="s">
        <v>4868</v>
      </c>
      <c r="F2178" t="s">
        <v>4869</v>
      </c>
      <c r="H2178" t="s">
        <v>4870</v>
      </c>
    </row>
    <row r="2179" spans="1:8" x14ac:dyDescent="0.55000000000000004">
      <c r="A2179" t="str">
        <f t="shared" si="71"/>
        <v>51</v>
      </c>
      <c r="B2179" t="str">
        <f>"51.39"</f>
        <v>51.39</v>
      </c>
      <c r="C2179" t="s">
        <v>8</v>
      </c>
      <c r="D2179" t="s">
        <v>12</v>
      </c>
      <c r="E2179" t="s">
        <v>4871</v>
      </c>
      <c r="F2179" t="s">
        <v>4872</v>
      </c>
    </row>
    <row r="2180" spans="1:8" x14ac:dyDescent="0.55000000000000004">
      <c r="A2180" t="str">
        <f t="shared" si="71"/>
        <v>51</v>
      </c>
      <c r="B2180" t="str">
        <f>"51.3901"</f>
        <v>51.3901</v>
      </c>
      <c r="C2180" t="s">
        <v>8</v>
      </c>
      <c r="D2180" t="s">
        <v>12</v>
      </c>
      <c r="E2180" t="s">
        <v>4873</v>
      </c>
      <c r="F2180" t="s">
        <v>4874</v>
      </c>
      <c r="H2180" t="s">
        <v>4875</v>
      </c>
    </row>
    <row r="2181" spans="1:8" x14ac:dyDescent="0.55000000000000004">
      <c r="A2181" t="str">
        <f t="shared" si="71"/>
        <v>51</v>
      </c>
      <c r="B2181" t="str">
        <f>"51.3902"</f>
        <v>51.3902</v>
      </c>
      <c r="C2181" t="s">
        <v>8</v>
      </c>
      <c r="D2181" t="s">
        <v>12</v>
      </c>
      <c r="E2181" t="s">
        <v>4876</v>
      </c>
      <c r="F2181" t="s">
        <v>4877</v>
      </c>
    </row>
    <row r="2182" spans="1:8" x14ac:dyDescent="0.55000000000000004">
      <c r="A2182" t="str">
        <f t="shared" si="71"/>
        <v>51</v>
      </c>
      <c r="B2182" t="str">
        <f>"51.3999"</f>
        <v>51.3999</v>
      </c>
      <c r="C2182" t="s">
        <v>8</v>
      </c>
      <c r="D2182" t="s">
        <v>12</v>
      </c>
      <c r="E2182" t="s">
        <v>4878</v>
      </c>
      <c r="F2182" t="s">
        <v>4879</v>
      </c>
    </row>
    <row r="2183" spans="1:8" x14ac:dyDescent="0.55000000000000004">
      <c r="A2183" t="str">
        <f t="shared" si="71"/>
        <v>51</v>
      </c>
      <c r="B2183" t="str">
        <f>"51.99"</f>
        <v>51.99</v>
      </c>
      <c r="C2183" t="s">
        <v>8</v>
      </c>
      <c r="D2183" t="s">
        <v>12</v>
      </c>
      <c r="E2183" t="s">
        <v>4880</v>
      </c>
      <c r="F2183" t="s">
        <v>4881</v>
      </c>
    </row>
    <row r="2184" spans="1:8" x14ac:dyDescent="0.55000000000000004">
      <c r="A2184" t="str">
        <f t="shared" si="71"/>
        <v>51</v>
      </c>
      <c r="B2184" t="str">
        <f>"51.9980"</f>
        <v>51.9980</v>
      </c>
      <c r="C2184" t="s">
        <v>47</v>
      </c>
      <c r="D2184" t="s">
        <v>12</v>
      </c>
      <c r="E2184" t="s">
        <v>82</v>
      </c>
      <c r="F2184" t="s">
        <v>83</v>
      </c>
    </row>
    <row r="2185" spans="1:8" x14ac:dyDescent="0.55000000000000004">
      <c r="A2185" t="str">
        <f t="shared" si="71"/>
        <v>51</v>
      </c>
      <c r="B2185" t="str">
        <f>"51.9999"</f>
        <v>51.9999</v>
      </c>
      <c r="C2185" t="s">
        <v>8</v>
      </c>
      <c r="D2185" t="s">
        <v>12</v>
      </c>
      <c r="E2185" t="s">
        <v>4880</v>
      </c>
      <c r="F2185" t="s">
        <v>4882</v>
      </c>
    </row>
    <row r="2186" spans="1:8" x14ac:dyDescent="0.55000000000000004">
      <c r="A2186" t="str">
        <f>"52"</f>
        <v>52</v>
      </c>
      <c r="B2186" t="str">
        <f>"52"</f>
        <v>52</v>
      </c>
      <c r="C2186" t="s">
        <v>8</v>
      </c>
      <c r="D2186" t="s">
        <v>12</v>
      </c>
      <c r="E2186" t="s">
        <v>4883</v>
      </c>
      <c r="F2186" t="s">
        <v>4884</v>
      </c>
    </row>
    <row r="2187" spans="1:8" x14ac:dyDescent="0.55000000000000004">
      <c r="A2187" t="str">
        <f t="shared" ref="A2187:A2218" si="72">"52"</f>
        <v>52</v>
      </c>
      <c r="B2187" t="str">
        <f>"52.01"</f>
        <v>52.01</v>
      </c>
      <c r="C2187" t="s">
        <v>8</v>
      </c>
      <c r="D2187" t="s">
        <v>12</v>
      </c>
      <c r="E2187" t="s">
        <v>4885</v>
      </c>
      <c r="F2187" t="s">
        <v>4886</v>
      </c>
    </row>
    <row r="2188" spans="1:8" x14ac:dyDescent="0.55000000000000004">
      <c r="A2188" t="str">
        <f t="shared" si="72"/>
        <v>52</v>
      </c>
      <c r="B2188" t="str">
        <f>"52.0101"</f>
        <v>52.0101</v>
      </c>
      <c r="C2188" t="s">
        <v>8</v>
      </c>
      <c r="D2188" t="s">
        <v>12</v>
      </c>
      <c r="E2188" t="s">
        <v>4885</v>
      </c>
      <c r="F2188" t="s">
        <v>4887</v>
      </c>
    </row>
    <row r="2189" spans="1:8" x14ac:dyDescent="0.55000000000000004">
      <c r="A2189" t="str">
        <f t="shared" si="72"/>
        <v>52</v>
      </c>
      <c r="B2189" t="str">
        <f>"52.02"</f>
        <v>52.02</v>
      </c>
      <c r="C2189" t="s">
        <v>8</v>
      </c>
      <c r="D2189" t="s">
        <v>12</v>
      </c>
      <c r="E2189" t="s">
        <v>4888</v>
      </c>
      <c r="F2189" t="s">
        <v>4889</v>
      </c>
    </row>
    <row r="2190" spans="1:8" x14ac:dyDescent="0.55000000000000004">
      <c r="A2190" t="str">
        <f t="shared" si="72"/>
        <v>52</v>
      </c>
      <c r="B2190" t="str">
        <f>"52.0201"</f>
        <v>52.0201</v>
      </c>
      <c r="C2190" t="s">
        <v>8</v>
      </c>
      <c r="D2190" t="s">
        <v>12</v>
      </c>
      <c r="E2190" t="s">
        <v>4890</v>
      </c>
      <c r="F2190" t="s">
        <v>4891</v>
      </c>
      <c r="H2190" t="s">
        <v>4892</v>
      </c>
    </row>
    <row r="2191" spans="1:8" x14ac:dyDescent="0.55000000000000004">
      <c r="A2191" t="str">
        <f t="shared" si="72"/>
        <v>52</v>
      </c>
      <c r="B2191" t="str">
        <f>"52.0202"</f>
        <v>52.0202</v>
      </c>
      <c r="C2191" t="s">
        <v>8</v>
      </c>
      <c r="D2191" t="s">
        <v>12</v>
      </c>
      <c r="E2191" t="s">
        <v>4893</v>
      </c>
      <c r="F2191" t="s">
        <v>4894</v>
      </c>
      <c r="H2191" t="s">
        <v>4895</v>
      </c>
    </row>
    <row r="2192" spans="1:8" x14ac:dyDescent="0.55000000000000004">
      <c r="A2192" t="str">
        <f t="shared" si="72"/>
        <v>52</v>
      </c>
      <c r="B2192" t="str">
        <f>"52.0203"</f>
        <v>52.0203</v>
      </c>
      <c r="C2192" t="s">
        <v>8</v>
      </c>
      <c r="D2192" t="s">
        <v>12</v>
      </c>
      <c r="E2192" t="s">
        <v>4896</v>
      </c>
      <c r="F2192" t="s">
        <v>4897</v>
      </c>
      <c r="H2192" t="s">
        <v>4898</v>
      </c>
    </row>
    <row r="2193" spans="1:8" x14ac:dyDescent="0.55000000000000004">
      <c r="A2193" t="str">
        <f t="shared" si="72"/>
        <v>52</v>
      </c>
      <c r="B2193" t="str">
        <f>"52.0204"</f>
        <v>52.0204</v>
      </c>
      <c r="C2193" t="s">
        <v>8</v>
      </c>
      <c r="D2193" t="s">
        <v>12</v>
      </c>
      <c r="E2193" t="s">
        <v>4899</v>
      </c>
      <c r="F2193" t="s">
        <v>4900</v>
      </c>
      <c r="G2193" t="s">
        <v>4901</v>
      </c>
    </row>
    <row r="2194" spans="1:8" x14ac:dyDescent="0.55000000000000004">
      <c r="A2194" t="str">
        <f t="shared" si="72"/>
        <v>52</v>
      </c>
      <c r="B2194" t="str">
        <f>"52.0205"</f>
        <v>52.0205</v>
      </c>
      <c r="C2194" t="s">
        <v>8</v>
      </c>
      <c r="D2194" t="s">
        <v>12</v>
      </c>
      <c r="E2194" t="s">
        <v>4902</v>
      </c>
      <c r="F2194" t="s">
        <v>4903</v>
      </c>
      <c r="H2194" t="s">
        <v>4904</v>
      </c>
    </row>
    <row r="2195" spans="1:8" x14ac:dyDescent="0.55000000000000004">
      <c r="A2195" t="str">
        <f t="shared" si="72"/>
        <v>52</v>
      </c>
      <c r="B2195" t="str">
        <f>"52.0206"</f>
        <v>52.0206</v>
      </c>
      <c r="C2195" t="s">
        <v>8</v>
      </c>
      <c r="D2195" t="s">
        <v>12</v>
      </c>
      <c r="E2195" t="s">
        <v>4905</v>
      </c>
      <c r="F2195" t="s">
        <v>4906</v>
      </c>
      <c r="G2195" t="s">
        <v>4907</v>
      </c>
    </row>
    <row r="2196" spans="1:8" x14ac:dyDescent="0.55000000000000004">
      <c r="A2196" t="str">
        <f t="shared" si="72"/>
        <v>52</v>
      </c>
      <c r="B2196" t="str">
        <f>"52.0207"</f>
        <v>52.0207</v>
      </c>
      <c r="C2196" t="s">
        <v>8</v>
      </c>
      <c r="D2196" t="s">
        <v>12</v>
      </c>
      <c r="E2196" t="s">
        <v>4908</v>
      </c>
      <c r="F2196" t="s">
        <v>4909</v>
      </c>
    </row>
    <row r="2197" spans="1:8" x14ac:dyDescent="0.55000000000000004">
      <c r="A2197" t="str">
        <f t="shared" si="72"/>
        <v>52</v>
      </c>
      <c r="B2197" t="str">
        <f>"52.0208"</f>
        <v>52.0208</v>
      </c>
      <c r="C2197" t="s">
        <v>8</v>
      </c>
      <c r="D2197" t="s">
        <v>12</v>
      </c>
      <c r="E2197" t="s">
        <v>4910</v>
      </c>
      <c r="F2197" t="s">
        <v>4911</v>
      </c>
    </row>
    <row r="2198" spans="1:8" x14ac:dyDescent="0.55000000000000004">
      <c r="A2198" t="str">
        <f t="shared" si="72"/>
        <v>52</v>
      </c>
      <c r="B2198" t="str">
        <f>"52.0209"</f>
        <v>52.0209</v>
      </c>
      <c r="C2198" t="s">
        <v>8</v>
      </c>
      <c r="D2198" t="s">
        <v>9</v>
      </c>
      <c r="E2198" t="s">
        <v>4912</v>
      </c>
      <c r="F2198" t="s">
        <v>4913</v>
      </c>
      <c r="G2198" t="s">
        <v>4914</v>
      </c>
      <c r="H2198" t="s">
        <v>4915</v>
      </c>
    </row>
    <row r="2199" spans="1:8" x14ac:dyDescent="0.55000000000000004">
      <c r="A2199" t="str">
        <f t="shared" si="72"/>
        <v>52</v>
      </c>
      <c r="B2199" t="str">
        <f>"52.0210"</f>
        <v>52.0210</v>
      </c>
      <c r="C2199" t="s">
        <v>8</v>
      </c>
      <c r="D2199" t="s">
        <v>12</v>
      </c>
      <c r="E2199" t="s">
        <v>4916</v>
      </c>
      <c r="F2199" t="s">
        <v>4917</v>
      </c>
    </row>
    <row r="2200" spans="1:8" x14ac:dyDescent="0.55000000000000004">
      <c r="A2200" t="str">
        <f t="shared" si="72"/>
        <v>52</v>
      </c>
      <c r="B2200" t="str">
        <f>"52.0211"</f>
        <v>52.0211</v>
      </c>
      <c r="C2200" t="s">
        <v>8</v>
      </c>
      <c r="D2200" t="s">
        <v>12</v>
      </c>
      <c r="E2200" t="s">
        <v>4918</v>
      </c>
      <c r="F2200" t="s">
        <v>4919</v>
      </c>
      <c r="G2200" t="s">
        <v>4920</v>
      </c>
    </row>
    <row r="2201" spans="1:8" x14ac:dyDescent="0.55000000000000004">
      <c r="A2201" t="str">
        <f t="shared" si="72"/>
        <v>52</v>
      </c>
      <c r="B2201" t="str">
        <f>"52.0212"</f>
        <v>52.0212</v>
      </c>
      <c r="C2201" t="s">
        <v>8</v>
      </c>
      <c r="D2201" t="s">
        <v>12</v>
      </c>
      <c r="E2201" t="s">
        <v>4921</v>
      </c>
      <c r="F2201" t="s">
        <v>4922</v>
      </c>
    </row>
    <row r="2202" spans="1:8" x14ac:dyDescent="0.55000000000000004">
      <c r="A2202" t="str">
        <f t="shared" si="72"/>
        <v>52</v>
      </c>
      <c r="B2202" t="str">
        <f>"52.0213"</f>
        <v>52.0213</v>
      </c>
      <c r="C2202" t="s">
        <v>8</v>
      </c>
      <c r="D2202" t="s">
        <v>12</v>
      </c>
      <c r="E2202" t="s">
        <v>4923</v>
      </c>
      <c r="F2202" t="s">
        <v>4924</v>
      </c>
      <c r="H2202" t="s">
        <v>4925</v>
      </c>
    </row>
    <row r="2203" spans="1:8" x14ac:dyDescent="0.55000000000000004">
      <c r="A2203" t="str">
        <f t="shared" si="72"/>
        <v>52</v>
      </c>
      <c r="B2203" t="str">
        <f>"52.0214"</f>
        <v>52.0214</v>
      </c>
      <c r="C2203" t="s">
        <v>47</v>
      </c>
      <c r="D2203" t="s">
        <v>12</v>
      </c>
      <c r="E2203" t="s">
        <v>4926</v>
      </c>
      <c r="F2203" t="s">
        <v>4927</v>
      </c>
      <c r="G2203" t="s">
        <v>4928</v>
      </c>
    </row>
    <row r="2204" spans="1:8" x14ac:dyDescent="0.55000000000000004">
      <c r="A2204" t="str">
        <f t="shared" si="72"/>
        <v>52</v>
      </c>
      <c r="B2204" t="str">
        <f>"52.0215"</f>
        <v>52.0215</v>
      </c>
      <c r="C2204" t="s">
        <v>47</v>
      </c>
      <c r="D2204" t="s">
        <v>12</v>
      </c>
      <c r="E2204" t="s">
        <v>4929</v>
      </c>
      <c r="F2204" t="s">
        <v>4930</v>
      </c>
    </row>
    <row r="2205" spans="1:8" x14ac:dyDescent="0.55000000000000004">
      <c r="A2205" t="str">
        <f t="shared" si="72"/>
        <v>52</v>
      </c>
      <c r="B2205" t="str">
        <f>"52.0216"</f>
        <v>52.0216</v>
      </c>
      <c r="C2205" t="s">
        <v>47</v>
      </c>
      <c r="D2205" t="s">
        <v>12</v>
      </c>
      <c r="E2205" t="s">
        <v>4931</v>
      </c>
      <c r="F2205" t="s">
        <v>4932</v>
      </c>
    </row>
    <row r="2206" spans="1:8" x14ac:dyDescent="0.55000000000000004">
      <c r="A2206" t="str">
        <f t="shared" si="72"/>
        <v>52</v>
      </c>
      <c r="B2206" t="str">
        <f>"52.0299"</f>
        <v>52.0299</v>
      </c>
      <c r="C2206" t="s">
        <v>8</v>
      </c>
      <c r="D2206" t="s">
        <v>12</v>
      </c>
      <c r="E2206" t="s">
        <v>4933</v>
      </c>
      <c r="F2206" t="s">
        <v>4934</v>
      </c>
      <c r="G2206" t="s">
        <v>4935</v>
      </c>
    </row>
    <row r="2207" spans="1:8" x14ac:dyDescent="0.55000000000000004">
      <c r="A2207" t="str">
        <f t="shared" si="72"/>
        <v>52</v>
      </c>
      <c r="B2207" t="str">
        <f>"52.03"</f>
        <v>52.03</v>
      </c>
      <c r="C2207" t="s">
        <v>8</v>
      </c>
      <c r="D2207" t="s">
        <v>12</v>
      </c>
      <c r="E2207" t="s">
        <v>4936</v>
      </c>
      <c r="F2207" t="s">
        <v>4937</v>
      </c>
    </row>
    <row r="2208" spans="1:8" x14ac:dyDescent="0.55000000000000004">
      <c r="A2208" t="str">
        <f t="shared" si="72"/>
        <v>52</v>
      </c>
      <c r="B2208" t="str">
        <f>"52.0301"</f>
        <v>52.0301</v>
      </c>
      <c r="C2208" t="s">
        <v>8</v>
      </c>
      <c r="D2208" t="s">
        <v>12</v>
      </c>
      <c r="E2208" t="s">
        <v>4938</v>
      </c>
      <c r="F2208" t="s">
        <v>4939</v>
      </c>
    </row>
    <row r="2209" spans="1:8" x14ac:dyDescent="0.55000000000000004">
      <c r="A2209" t="str">
        <f t="shared" si="72"/>
        <v>52</v>
      </c>
      <c r="B2209" t="str">
        <f>"52.0302"</f>
        <v>52.0302</v>
      </c>
      <c r="C2209" t="s">
        <v>8</v>
      </c>
      <c r="D2209" t="s">
        <v>12</v>
      </c>
      <c r="E2209" t="s">
        <v>4940</v>
      </c>
      <c r="F2209" t="s">
        <v>4941</v>
      </c>
    </row>
    <row r="2210" spans="1:8" x14ac:dyDescent="0.55000000000000004">
      <c r="A2210" t="str">
        <f t="shared" si="72"/>
        <v>52</v>
      </c>
      <c r="B2210" t="str">
        <f>"52.0303"</f>
        <v>52.0303</v>
      </c>
      <c r="C2210" t="s">
        <v>8</v>
      </c>
      <c r="D2210" t="s">
        <v>12</v>
      </c>
      <c r="E2210" t="s">
        <v>4942</v>
      </c>
      <c r="F2210" t="s">
        <v>4943</v>
      </c>
    </row>
    <row r="2211" spans="1:8" x14ac:dyDescent="0.55000000000000004">
      <c r="A2211" t="str">
        <f t="shared" si="72"/>
        <v>52</v>
      </c>
      <c r="B2211" t="str">
        <f>"52.0304"</f>
        <v>52.0304</v>
      </c>
      <c r="C2211" t="s">
        <v>8</v>
      </c>
      <c r="D2211" t="s">
        <v>12</v>
      </c>
      <c r="E2211" t="s">
        <v>4944</v>
      </c>
      <c r="F2211" t="s">
        <v>4945</v>
      </c>
      <c r="G2211" t="s">
        <v>4946</v>
      </c>
    </row>
    <row r="2212" spans="1:8" x14ac:dyDescent="0.55000000000000004">
      <c r="A2212" t="str">
        <f t="shared" si="72"/>
        <v>52</v>
      </c>
      <c r="B2212" t="str">
        <f>"52.0305"</f>
        <v>52.0305</v>
      </c>
      <c r="C2212" t="s">
        <v>8</v>
      </c>
      <c r="D2212" t="s">
        <v>12</v>
      </c>
      <c r="E2212" t="s">
        <v>4947</v>
      </c>
      <c r="F2212" t="s">
        <v>4948</v>
      </c>
      <c r="G2212" t="s">
        <v>4949</v>
      </c>
    </row>
    <row r="2213" spans="1:8" x14ac:dyDescent="0.55000000000000004">
      <c r="A2213" t="str">
        <f t="shared" si="72"/>
        <v>52</v>
      </c>
      <c r="B2213" t="str">
        <f>"52.0399"</f>
        <v>52.0399</v>
      </c>
      <c r="C2213" t="s">
        <v>8</v>
      </c>
      <c r="D2213" t="s">
        <v>12</v>
      </c>
      <c r="E2213" t="s">
        <v>4950</v>
      </c>
      <c r="F2213" t="s">
        <v>4951</v>
      </c>
      <c r="H2213" t="s">
        <v>4952</v>
      </c>
    </row>
    <row r="2214" spans="1:8" x14ac:dyDescent="0.55000000000000004">
      <c r="A2214" t="str">
        <f t="shared" si="72"/>
        <v>52</v>
      </c>
      <c r="B2214" t="str">
        <f>"52.04"</f>
        <v>52.04</v>
      </c>
      <c r="C2214" t="s">
        <v>8</v>
      </c>
      <c r="D2214" t="s">
        <v>12</v>
      </c>
      <c r="E2214" t="s">
        <v>4953</v>
      </c>
      <c r="F2214" t="s">
        <v>4954</v>
      </c>
    </row>
    <row r="2215" spans="1:8" x14ac:dyDescent="0.55000000000000004">
      <c r="A2215" t="str">
        <f t="shared" si="72"/>
        <v>52</v>
      </c>
      <c r="B2215" t="str">
        <f>"52.0401"</f>
        <v>52.0401</v>
      </c>
      <c r="C2215" t="s">
        <v>8</v>
      </c>
      <c r="D2215" t="s">
        <v>12</v>
      </c>
      <c r="E2215" t="s">
        <v>4955</v>
      </c>
      <c r="F2215" t="s">
        <v>4956</v>
      </c>
      <c r="G2215" t="s">
        <v>4957</v>
      </c>
    </row>
    <row r="2216" spans="1:8" x14ac:dyDescent="0.55000000000000004">
      <c r="A2216" t="str">
        <f t="shared" si="72"/>
        <v>52</v>
      </c>
      <c r="B2216" t="str">
        <f>"52.0402"</f>
        <v>52.0402</v>
      </c>
      <c r="C2216" t="s">
        <v>8</v>
      </c>
      <c r="D2216" t="s">
        <v>12</v>
      </c>
      <c r="E2216" t="s">
        <v>4958</v>
      </c>
      <c r="F2216" t="s">
        <v>4959</v>
      </c>
      <c r="G2216" t="s">
        <v>4960</v>
      </c>
    </row>
    <row r="2217" spans="1:8" x14ac:dyDescent="0.55000000000000004">
      <c r="A2217" t="str">
        <f t="shared" si="72"/>
        <v>52</v>
      </c>
      <c r="B2217" t="str">
        <f>"52.0406"</f>
        <v>52.0406</v>
      </c>
      <c r="C2217" t="s">
        <v>8</v>
      </c>
      <c r="D2217" t="s">
        <v>12</v>
      </c>
      <c r="E2217" t="s">
        <v>4961</v>
      </c>
      <c r="F2217" t="s">
        <v>4962</v>
      </c>
      <c r="G2217" t="s">
        <v>4963</v>
      </c>
    </row>
    <row r="2218" spans="1:8" x14ac:dyDescent="0.55000000000000004">
      <c r="A2218" t="str">
        <f t="shared" si="72"/>
        <v>52</v>
      </c>
      <c r="B2218" t="str">
        <f>"52.0407"</f>
        <v>52.0407</v>
      </c>
      <c r="C2218" t="s">
        <v>8</v>
      </c>
      <c r="D2218" t="s">
        <v>12</v>
      </c>
      <c r="E2218" t="s">
        <v>4964</v>
      </c>
      <c r="F2218" t="s">
        <v>4965</v>
      </c>
    </row>
    <row r="2219" spans="1:8" x14ac:dyDescent="0.55000000000000004">
      <c r="A2219" t="str">
        <f t="shared" ref="A2219:A2250" si="73">"52"</f>
        <v>52</v>
      </c>
      <c r="B2219" t="str">
        <f>"52.0408"</f>
        <v>52.0408</v>
      </c>
      <c r="C2219" t="s">
        <v>8</v>
      </c>
      <c r="D2219" t="s">
        <v>12</v>
      </c>
      <c r="E2219" t="s">
        <v>4966</v>
      </c>
      <c r="F2219" t="s">
        <v>4967</v>
      </c>
    </row>
    <row r="2220" spans="1:8" x14ac:dyDescent="0.55000000000000004">
      <c r="A2220" t="str">
        <f t="shared" si="73"/>
        <v>52</v>
      </c>
      <c r="B2220" t="str">
        <f>"52.0409"</f>
        <v>52.0409</v>
      </c>
      <c r="C2220" t="s">
        <v>8</v>
      </c>
      <c r="D2220" t="s">
        <v>12</v>
      </c>
      <c r="E2220" t="s">
        <v>4968</v>
      </c>
      <c r="F2220" t="s">
        <v>4969</v>
      </c>
    </row>
    <row r="2221" spans="1:8" x14ac:dyDescent="0.55000000000000004">
      <c r="A2221" t="str">
        <f t="shared" si="73"/>
        <v>52</v>
      </c>
      <c r="B2221" t="str">
        <f>"52.0410"</f>
        <v>52.0410</v>
      </c>
      <c r="C2221" t="s">
        <v>8</v>
      </c>
      <c r="D2221" t="s">
        <v>12</v>
      </c>
      <c r="E2221" t="s">
        <v>4970</v>
      </c>
      <c r="F2221" t="s">
        <v>4971</v>
      </c>
    </row>
    <row r="2222" spans="1:8" x14ac:dyDescent="0.55000000000000004">
      <c r="A2222" t="str">
        <f t="shared" si="73"/>
        <v>52</v>
      </c>
      <c r="B2222" t="str">
        <f>"52.0411"</f>
        <v>52.0411</v>
      </c>
      <c r="C2222" t="s">
        <v>8</v>
      </c>
      <c r="D2222" t="s">
        <v>12</v>
      </c>
      <c r="E2222" t="s">
        <v>4972</v>
      </c>
      <c r="F2222" t="s">
        <v>4973</v>
      </c>
    </row>
    <row r="2223" spans="1:8" x14ac:dyDescent="0.55000000000000004">
      <c r="A2223" t="str">
        <f t="shared" si="73"/>
        <v>52</v>
      </c>
      <c r="B2223" t="str">
        <f>"52.0499"</f>
        <v>52.0499</v>
      </c>
      <c r="C2223" t="s">
        <v>8</v>
      </c>
      <c r="D2223" t="s">
        <v>12</v>
      </c>
      <c r="E2223" t="s">
        <v>4974</v>
      </c>
      <c r="F2223" t="s">
        <v>4975</v>
      </c>
    </row>
    <row r="2224" spans="1:8" x14ac:dyDescent="0.55000000000000004">
      <c r="A2224" t="str">
        <f t="shared" si="73"/>
        <v>52</v>
      </c>
      <c r="B2224" t="str">
        <f>"52.05"</f>
        <v>52.05</v>
      </c>
      <c r="C2224" t="s">
        <v>8</v>
      </c>
      <c r="D2224" t="s">
        <v>12</v>
      </c>
      <c r="E2224" t="s">
        <v>4976</v>
      </c>
      <c r="F2224" t="s">
        <v>4977</v>
      </c>
    </row>
    <row r="2225" spans="1:7" x14ac:dyDescent="0.55000000000000004">
      <c r="A2225" t="str">
        <f t="shared" si="73"/>
        <v>52</v>
      </c>
      <c r="B2225" t="str">
        <f>"52.0501"</f>
        <v>52.0501</v>
      </c>
      <c r="C2225" t="s">
        <v>8</v>
      </c>
      <c r="D2225" t="s">
        <v>9</v>
      </c>
      <c r="E2225" t="s">
        <v>4978</v>
      </c>
      <c r="F2225" t="s">
        <v>4979</v>
      </c>
    </row>
    <row r="2226" spans="1:7" x14ac:dyDescent="0.55000000000000004">
      <c r="A2226" t="str">
        <f t="shared" si="73"/>
        <v>52</v>
      </c>
      <c r="B2226" t="str">
        <f>"52.0502"</f>
        <v>52.0502</v>
      </c>
      <c r="C2226" t="s">
        <v>47</v>
      </c>
      <c r="D2226" t="s">
        <v>12</v>
      </c>
      <c r="E2226" t="s">
        <v>4980</v>
      </c>
      <c r="F2226" t="s">
        <v>4981</v>
      </c>
    </row>
    <row r="2227" spans="1:7" x14ac:dyDescent="0.55000000000000004">
      <c r="A2227" t="str">
        <f t="shared" si="73"/>
        <v>52</v>
      </c>
      <c r="B2227" t="str">
        <f>"52.0599"</f>
        <v>52.0599</v>
      </c>
      <c r="C2227" t="s">
        <v>47</v>
      </c>
      <c r="D2227" t="s">
        <v>12</v>
      </c>
      <c r="E2227" t="s">
        <v>4982</v>
      </c>
      <c r="F2227" t="s">
        <v>4983</v>
      </c>
    </row>
    <row r="2228" spans="1:7" x14ac:dyDescent="0.55000000000000004">
      <c r="A2228" t="str">
        <f t="shared" si="73"/>
        <v>52</v>
      </c>
      <c r="B2228" t="str">
        <f>"52.06"</f>
        <v>52.06</v>
      </c>
      <c r="C2228" t="s">
        <v>8</v>
      </c>
      <c r="D2228" t="s">
        <v>12</v>
      </c>
      <c r="E2228" t="s">
        <v>4984</v>
      </c>
      <c r="F2228" t="s">
        <v>4985</v>
      </c>
    </row>
    <row r="2229" spans="1:7" x14ac:dyDescent="0.55000000000000004">
      <c r="A2229" t="str">
        <f t="shared" si="73"/>
        <v>52</v>
      </c>
      <c r="B2229" t="str">
        <f>"52.0601"</f>
        <v>52.0601</v>
      </c>
      <c r="C2229" t="s">
        <v>8</v>
      </c>
      <c r="D2229" t="s">
        <v>12</v>
      </c>
      <c r="E2229" t="s">
        <v>4984</v>
      </c>
      <c r="F2229" t="s">
        <v>4986</v>
      </c>
    </row>
    <row r="2230" spans="1:7" x14ac:dyDescent="0.55000000000000004">
      <c r="A2230" t="str">
        <f t="shared" si="73"/>
        <v>52</v>
      </c>
      <c r="B2230" t="str">
        <f>"52.07"</f>
        <v>52.07</v>
      </c>
      <c r="C2230" t="s">
        <v>8</v>
      </c>
      <c r="D2230" t="s">
        <v>12</v>
      </c>
      <c r="E2230" t="s">
        <v>4987</v>
      </c>
      <c r="F2230" t="s">
        <v>4988</v>
      </c>
    </row>
    <row r="2231" spans="1:7" x14ac:dyDescent="0.55000000000000004">
      <c r="A2231" t="str">
        <f t="shared" si="73"/>
        <v>52</v>
      </c>
      <c r="B2231" t="str">
        <f>"52.0701"</f>
        <v>52.0701</v>
      </c>
      <c r="C2231" t="s">
        <v>8</v>
      </c>
      <c r="D2231" t="s">
        <v>12</v>
      </c>
      <c r="E2231" t="s">
        <v>4989</v>
      </c>
      <c r="F2231" t="s">
        <v>4990</v>
      </c>
    </row>
    <row r="2232" spans="1:7" x14ac:dyDescent="0.55000000000000004">
      <c r="A2232" t="str">
        <f t="shared" si="73"/>
        <v>52</v>
      </c>
      <c r="B2232" t="str">
        <f>"52.0702"</f>
        <v>52.0702</v>
      </c>
      <c r="C2232" t="s">
        <v>8</v>
      </c>
      <c r="D2232" t="s">
        <v>12</v>
      </c>
      <c r="E2232" t="s">
        <v>4991</v>
      </c>
      <c r="F2232" t="s">
        <v>4992</v>
      </c>
    </row>
    <row r="2233" spans="1:7" x14ac:dyDescent="0.55000000000000004">
      <c r="A2233" t="str">
        <f t="shared" si="73"/>
        <v>52</v>
      </c>
      <c r="B2233" t="str">
        <f>"52.0703"</f>
        <v>52.0703</v>
      </c>
      <c r="C2233" t="s">
        <v>8</v>
      </c>
      <c r="D2233" t="s">
        <v>12</v>
      </c>
      <c r="E2233" t="s">
        <v>4993</v>
      </c>
      <c r="F2233" t="s">
        <v>4994</v>
      </c>
    </row>
    <row r="2234" spans="1:7" x14ac:dyDescent="0.55000000000000004">
      <c r="A2234" t="str">
        <f t="shared" si="73"/>
        <v>52</v>
      </c>
      <c r="B2234" t="str">
        <f>"52.0704"</f>
        <v>52.0704</v>
      </c>
      <c r="C2234" t="s">
        <v>47</v>
      </c>
      <c r="D2234" t="s">
        <v>12</v>
      </c>
      <c r="E2234" t="s">
        <v>4995</v>
      </c>
      <c r="F2234" t="s">
        <v>4996</v>
      </c>
      <c r="G2234" t="s">
        <v>4997</v>
      </c>
    </row>
    <row r="2235" spans="1:7" x14ac:dyDescent="0.55000000000000004">
      <c r="A2235" t="str">
        <f t="shared" si="73"/>
        <v>52</v>
      </c>
      <c r="B2235" t="str">
        <f>"52.0799"</f>
        <v>52.0799</v>
      </c>
      <c r="C2235" t="s">
        <v>8</v>
      </c>
      <c r="D2235" t="s">
        <v>12</v>
      </c>
      <c r="E2235" t="s">
        <v>4998</v>
      </c>
      <c r="F2235" t="s">
        <v>4999</v>
      </c>
    </row>
    <row r="2236" spans="1:7" x14ac:dyDescent="0.55000000000000004">
      <c r="A2236" t="str">
        <f t="shared" si="73"/>
        <v>52</v>
      </c>
      <c r="B2236" t="str">
        <f>"52.08"</f>
        <v>52.08</v>
      </c>
      <c r="C2236" t="s">
        <v>8</v>
      </c>
      <c r="D2236" t="s">
        <v>12</v>
      </c>
      <c r="E2236" t="s">
        <v>5000</v>
      </c>
      <c r="F2236" t="s">
        <v>5001</v>
      </c>
    </row>
    <row r="2237" spans="1:7" x14ac:dyDescent="0.55000000000000004">
      <c r="A2237" t="str">
        <f t="shared" si="73"/>
        <v>52</v>
      </c>
      <c r="B2237" t="str">
        <f>"52.0801"</f>
        <v>52.0801</v>
      </c>
      <c r="C2237" t="s">
        <v>8</v>
      </c>
      <c r="D2237" t="s">
        <v>12</v>
      </c>
      <c r="E2237" t="s">
        <v>5002</v>
      </c>
      <c r="F2237" t="s">
        <v>5003</v>
      </c>
    </row>
    <row r="2238" spans="1:7" x14ac:dyDescent="0.55000000000000004">
      <c r="A2238" t="str">
        <f t="shared" si="73"/>
        <v>52</v>
      </c>
      <c r="B2238" t="str">
        <f>"52.0803"</f>
        <v>52.0803</v>
      </c>
      <c r="C2238" t="s">
        <v>8</v>
      </c>
      <c r="D2238" t="s">
        <v>12</v>
      </c>
      <c r="E2238" t="s">
        <v>5004</v>
      </c>
      <c r="F2238" t="s">
        <v>5005</v>
      </c>
    </row>
    <row r="2239" spans="1:7" x14ac:dyDescent="0.55000000000000004">
      <c r="A2239" t="str">
        <f t="shared" si="73"/>
        <v>52</v>
      </c>
      <c r="B2239" t="str">
        <f>"52.0804"</f>
        <v>52.0804</v>
      </c>
      <c r="C2239" t="s">
        <v>8</v>
      </c>
      <c r="D2239" t="s">
        <v>12</v>
      </c>
      <c r="E2239" t="s">
        <v>5006</v>
      </c>
      <c r="F2239" t="s">
        <v>5007</v>
      </c>
      <c r="G2239" t="s">
        <v>5008</v>
      </c>
    </row>
    <row r="2240" spans="1:7" x14ac:dyDescent="0.55000000000000004">
      <c r="A2240" t="str">
        <f t="shared" si="73"/>
        <v>52</v>
      </c>
      <c r="B2240" t="str">
        <f>"52.0806"</f>
        <v>52.0806</v>
      </c>
      <c r="C2240" t="s">
        <v>8</v>
      </c>
      <c r="D2240" t="s">
        <v>12</v>
      </c>
      <c r="E2240" t="s">
        <v>5009</v>
      </c>
      <c r="F2240" t="s">
        <v>5010</v>
      </c>
      <c r="G2240" t="s">
        <v>5011</v>
      </c>
    </row>
    <row r="2241" spans="1:8" x14ac:dyDescent="0.55000000000000004">
      <c r="A2241" t="str">
        <f t="shared" si="73"/>
        <v>52</v>
      </c>
      <c r="B2241" t="str">
        <f>"52.0807"</f>
        <v>52.0807</v>
      </c>
      <c r="C2241" t="s">
        <v>8</v>
      </c>
      <c r="D2241" t="s">
        <v>12</v>
      </c>
      <c r="E2241" t="s">
        <v>5012</v>
      </c>
      <c r="F2241" t="s">
        <v>5013</v>
      </c>
    </row>
    <row r="2242" spans="1:8" x14ac:dyDescent="0.55000000000000004">
      <c r="A2242" t="str">
        <f t="shared" si="73"/>
        <v>52</v>
      </c>
      <c r="B2242" t="str">
        <f>"52.0808"</f>
        <v>52.0808</v>
      </c>
      <c r="C2242" t="s">
        <v>8</v>
      </c>
      <c r="D2242" t="s">
        <v>12</v>
      </c>
      <c r="E2242" t="s">
        <v>5014</v>
      </c>
      <c r="F2242" t="s">
        <v>5015</v>
      </c>
    </row>
    <row r="2243" spans="1:8" x14ac:dyDescent="0.55000000000000004">
      <c r="A2243" t="str">
        <f t="shared" si="73"/>
        <v>52</v>
      </c>
      <c r="B2243" t="str">
        <f>"52.0809"</f>
        <v>52.0809</v>
      </c>
      <c r="C2243" t="s">
        <v>8</v>
      </c>
      <c r="D2243" t="s">
        <v>12</v>
      </c>
      <c r="E2243" t="s">
        <v>5016</v>
      </c>
      <c r="F2243" t="s">
        <v>5017</v>
      </c>
      <c r="H2243" t="s">
        <v>5018</v>
      </c>
    </row>
    <row r="2244" spans="1:8" x14ac:dyDescent="0.55000000000000004">
      <c r="A2244" t="str">
        <f t="shared" si="73"/>
        <v>52</v>
      </c>
      <c r="B2244" t="str">
        <f>"52.0810"</f>
        <v>52.0810</v>
      </c>
      <c r="C2244" t="s">
        <v>47</v>
      </c>
      <c r="D2244" t="s">
        <v>12</v>
      </c>
      <c r="E2244" t="s">
        <v>5019</v>
      </c>
      <c r="F2244" t="s">
        <v>5020</v>
      </c>
    </row>
    <row r="2245" spans="1:8" x14ac:dyDescent="0.55000000000000004">
      <c r="A2245" t="str">
        <f t="shared" si="73"/>
        <v>52</v>
      </c>
      <c r="B2245" t="str">
        <f>"52.0899"</f>
        <v>52.0899</v>
      </c>
      <c r="C2245" t="s">
        <v>8</v>
      </c>
      <c r="D2245" t="s">
        <v>12</v>
      </c>
      <c r="E2245" t="s">
        <v>5021</v>
      </c>
      <c r="F2245" t="s">
        <v>5022</v>
      </c>
    </row>
    <row r="2246" spans="1:8" x14ac:dyDescent="0.55000000000000004">
      <c r="A2246" t="str">
        <f t="shared" si="73"/>
        <v>52</v>
      </c>
      <c r="B2246" t="str">
        <f>"52.09"</f>
        <v>52.09</v>
      </c>
      <c r="C2246" t="s">
        <v>8</v>
      </c>
      <c r="D2246" t="s">
        <v>12</v>
      </c>
      <c r="E2246" t="s">
        <v>5023</v>
      </c>
      <c r="F2246" t="s">
        <v>5024</v>
      </c>
    </row>
    <row r="2247" spans="1:8" x14ac:dyDescent="0.55000000000000004">
      <c r="A2247" t="str">
        <f t="shared" si="73"/>
        <v>52</v>
      </c>
      <c r="B2247" t="str">
        <f>"52.0901"</f>
        <v>52.0901</v>
      </c>
      <c r="C2247" t="s">
        <v>8</v>
      </c>
      <c r="D2247" t="s">
        <v>12</v>
      </c>
      <c r="E2247" t="s">
        <v>5025</v>
      </c>
      <c r="F2247" t="s">
        <v>5026</v>
      </c>
    </row>
    <row r="2248" spans="1:8" x14ac:dyDescent="0.55000000000000004">
      <c r="A2248" t="str">
        <f t="shared" si="73"/>
        <v>52</v>
      </c>
      <c r="B2248" t="str">
        <f>"52.0903"</f>
        <v>52.0903</v>
      </c>
      <c r="C2248" t="s">
        <v>8</v>
      </c>
      <c r="D2248" t="s">
        <v>12</v>
      </c>
      <c r="E2248" t="s">
        <v>5027</v>
      </c>
      <c r="F2248" t="s">
        <v>5028</v>
      </c>
      <c r="G2248" t="s">
        <v>5029</v>
      </c>
    </row>
    <row r="2249" spans="1:8" x14ac:dyDescent="0.55000000000000004">
      <c r="A2249" t="str">
        <f t="shared" si="73"/>
        <v>52</v>
      </c>
      <c r="B2249" t="str">
        <f>"52.0904"</f>
        <v>52.0904</v>
      </c>
      <c r="C2249" t="s">
        <v>8</v>
      </c>
      <c r="D2249" t="s">
        <v>12</v>
      </c>
      <c r="E2249" t="s">
        <v>5030</v>
      </c>
      <c r="F2249" t="s">
        <v>5031</v>
      </c>
    </row>
    <row r="2250" spans="1:8" x14ac:dyDescent="0.55000000000000004">
      <c r="A2250" t="str">
        <f t="shared" si="73"/>
        <v>52</v>
      </c>
      <c r="B2250" t="str">
        <f>"52.0905"</f>
        <v>52.0905</v>
      </c>
      <c r="C2250" t="s">
        <v>8</v>
      </c>
      <c r="D2250" t="s">
        <v>12</v>
      </c>
      <c r="E2250" t="s">
        <v>5032</v>
      </c>
      <c r="F2250" t="s">
        <v>5033</v>
      </c>
      <c r="G2250" t="s">
        <v>5034</v>
      </c>
    </row>
    <row r="2251" spans="1:8" x14ac:dyDescent="0.55000000000000004">
      <c r="A2251" t="str">
        <f t="shared" ref="A2251:A2282" si="74">"52"</f>
        <v>52</v>
      </c>
      <c r="B2251" t="str">
        <f>"52.0906"</f>
        <v>52.0906</v>
      </c>
      <c r="C2251" t="s">
        <v>8</v>
      </c>
      <c r="D2251" t="s">
        <v>12</v>
      </c>
      <c r="E2251" t="s">
        <v>5035</v>
      </c>
      <c r="F2251" t="s">
        <v>5036</v>
      </c>
      <c r="H2251" t="s">
        <v>5037</v>
      </c>
    </row>
    <row r="2252" spans="1:8" x14ac:dyDescent="0.55000000000000004">
      <c r="A2252" t="str">
        <f t="shared" si="74"/>
        <v>52</v>
      </c>
      <c r="B2252" t="str">
        <f>"52.0907"</f>
        <v>52.0907</v>
      </c>
      <c r="C2252" t="s">
        <v>8</v>
      </c>
      <c r="D2252" t="s">
        <v>12</v>
      </c>
      <c r="E2252" t="s">
        <v>5038</v>
      </c>
      <c r="F2252" t="s">
        <v>5039</v>
      </c>
      <c r="G2252" t="s">
        <v>5040</v>
      </c>
      <c r="H2252" t="s">
        <v>5041</v>
      </c>
    </row>
    <row r="2253" spans="1:8" x14ac:dyDescent="0.55000000000000004">
      <c r="A2253" t="str">
        <f t="shared" si="74"/>
        <v>52</v>
      </c>
      <c r="B2253" t="str">
        <f>"52.0908"</f>
        <v>52.0908</v>
      </c>
      <c r="C2253" t="s">
        <v>8</v>
      </c>
      <c r="D2253" t="s">
        <v>9</v>
      </c>
      <c r="E2253" t="s">
        <v>5042</v>
      </c>
      <c r="F2253" t="s">
        <v>5043</v>
      </c>
      <c r="G2253" t="s">
        <v>5044</v>
      </c>
      <c r="H2253" t="s">
        <v>5045</v>
      </c>
    </row>
    <row r="2254" spans="1:8" x14ac:dyDescent="0.55000000000000004">
      <c r="A2254" t="str">
        <f t="shared" si="74"/>
        <v>52</v>
      </c>
      <c r="B2254" t="str">
        <f>"52.0909"</f>
        <v>52.0909</v>
      </c>
      <c r="C2254" t="s">
        <v>8</v>
      </c>
      <c r="D2254" t="s">
        <v>12</v>
      </c>
      <c r="E2254" t="s">
        <v>5046</v>
      </c>
      <c r="F2254" t="s">
        <v>5047</v>
      </c>
      <c r="G2254" t="s">
        <v>5048</v>
      </c>
    </row>
    <row r="2255" spans="1:8" x14ac:dyDescent="0.55000000000000004">
      <c r="A2255" t="str">
        <f t="shared" si="74"/>
        <v>52</v>
      </c>
      <c r="B2255" t="str">
        <f>"52.0910"</f>
        <v>52.0910</v>
      </c>
      <c r="C2255" t="s">
        <v>47</v>
      </c>
      <c r="D2255" t="s">
        <v>12</v>
      </c>
      <c r="E2255" t="s">
        <v>5049</v>
      </c>
      <c r="F2255" t="s">
        <v>5050</v>
      </c>
      <c r="G2255" t="s">
        <v>5051</v>
      </c>
    </row>
    <row r="2256" spans="1:8" x14ac:dyDescent="0.55000000000000004">
      <c r="A2256" t="str">
        <f t="shared" si="74"/>
        <v>52</v>
      </c>
      <c r="B2256" t="str">
        <f>"52.0999"</f>
        <v>52.0999</v>
      </c>
      <c r="C2256" t="s">
        <v>8</v>
      </c>
      <c r="D2256" t="s">
        <v>12</v>
      </c>
      <c r="E2256" t="s">
        <v>5052</v>
      </c>
      <c r="F2256" t="s">
        <v>5053</v>
      </c>
    </row>
    <row r="2257" spans="1:8" x14ac:dyDescent="0.55000000000000004">
      <c r="A2257" t="str">
        <f t="shared" si="74"/>
        <v>52</v>
      </c>
      <c r="B2257" t="str">
        <f>"52.10"</f>
        <v>52.10</v>
      </c>
      <c r="C2257" t="s">
        <v>8</v>
      </c>
      <c r="D2257" t="s">
        <v>12</v>
      </c>
      <c r="E2257" t="s">
        <v>5054</v>
      </c>
      <c r="F2257" t="s">
        <v>5055</v>
      </c>
    </row>
    <row r="2258" spans="1:8" x14ac:dyDescent="0.55000000000000004">
      <c r="A2258" t="str">
        <f t="shared" si="74"/>
        <v>52</v>
      </c>
      <c r="B2258" t="str">
        <f>"52.1001"</f>
        <v>52.1001</v>
      </c>
      <c r="C2258" t="s">
        <v>8</v>
      </c>
      <c r="D2258" t="s">
        <v>12</v>
      </c>
      <c r="E2258" t="s">
        <v>5056</v>
      </c>
      <c r="F2258" t="s">
        <v>5057</v>
      </c>
    </row>
    <row r="2259" spans="1:8" x14ac:dyDescent="0.55000000000000004">
      <c r="A2259" t="str">
        <f t="shared" si="74"/>
        <v>52</v>
      </c>
      <c r="B2259" t="str">
        <f>"52.1002"</f>
        <v>52.1002</v>
      </c>
      <c r="C2259" t="s">
        <v>8</v>
      </c>
      <c r="D2259" t="s">
        <v>12</v>
      </c>
      <c r="E2259" t="s">
        <v>5058</v>
      </c>
      <c r="F2259" t="s">
        <v>5059</v>
      </c>
    </row>
    <row r="2260" spans="1:8" x14ac:dyDescent="0.55000000000000004">
      <c r="A2260" t="str">
        <f t="shared" si="74"/>
        <v>52</v>
      </c>
      <c r="B2260" t="str">
        <f>"52.1003"</f>
        <v>52.1003</v>
      </c>
      <c r="C2260" t="s">
        <v>8</v>
      </c>
      <c r="D2260" t="s">
        <v>12</v>
      </c>
      <c r="E2260" t="s">
        <v>5060</v>
      </c>
      <c r="F2260" t="s">
        <v>5061</v>
      </c>
      <c r="G2260" t="s">
        <v>5062</v>
      </c>
    </row>
    <row r="2261" spans="1:8" x14ac:dyDescent="0.55000000000000004">
      <c r="A2261" t="str">
        <f t="shared" si="74"/>
        <v>52</v>
      </c>
      <c r="B2261" t="str">
        <f>"52.1004"</f>
        <v>52.1004</v>
      </c>
      <c r="C2261" t="s">
        <v>8</v>
      </c>
      <c r="D2261" t="s">
        <v>12</v>
      </c>
      <c r="E2261" t="s">
        <v>5063</v>
      </c>
      <c r="F2261" t="s">
        <v>5064</v>
      </c>
    </row>
    <row r="2262" spans="1:8" x14ac:dyDescent="0.55000000000000004">
      <c r="A2262" t="str">
        <f t="shared" si="74"/>
        <v>52</v>
      </c>
      <c r="B2262" t="str">
        <f>"52.1005"</f>
        <v>52.1005</v>
      </c>
      <c r="C2262" t="s">
        <v>8</v>
      </c>
      <c r="D2262" t="s">
        <v>12</v>
      </c>
      <c r="E2262" t="s">
        <v>5065</v>
      </c>
      <c r="F2262" t="s">
        <v>5066</v>
      </c>
    </row>
    <row r="2263" spans="1:8" x14ac:dyDescent="0.55000000000000004">
      <c r="A2263" t="str">
        <f t="shared" si="74"/>
        <v>52</v>
      </c>
      <c r="B2263" t="str">
        <f>"52.1006"</f>
        <v>52.1006</v>
      </c>
      <c r="C2263" t="s">
        <v>47</v>
      </c>
      <c r="D2263" t="s">
        <v>12</v>
      </c>
      <c r="E2263" t="s">
        <v>5067</v>
      </c>
      <c r="F2263" t="s">
        <v>5068</v>
      </c>
    </row>
    <row r="2264" spans="1:8" x14ac:dyDescent="0.55000000000000004">
      <c r="A2264" t="str">
        <f t="shared" si="74"/>
        <v>52</v>
      </c>
      <c r="B2264" t="str">
        <f>"52.1099"</f>
        <v>52.1099</v>
      </c>
      <c r="C2264" t="s">
        <v>8</v>
      </c>
      <c r="D2264" t="s">
        <v>12</v>
      </c>
      <c r="E2264" t="s">
        <v>5069</v>
      </c>
      <c r="F2264" t="s">
        <v>5070</v>
      </c>
    </row>
    <row r="2265" spans="1:8" x14ac:dyDescent="0.55000000000000004">
      <c r="A2265" t="str">
        <f t="shared" si="74"/>
        <v>52</v>
      </c>
      <c r="B2265" t="str">
        <f>"52.11"</f>
        <v>52.11</v>
      </c>
      <c r="C2265" t="s">
        <v>8</v>
      </c>
      <c r="D2265" t="s">
        <v>12</v>
      </c>
      <c r="E2265" t="s">
        <v>5071</v>
      </c>
      <c r="F2265" t="s">
        <v>5072</v>
      </c>
    </row>
    <row r="2266" spans="1:8" x14ac:dyDescent="0.55000000000000004">
      <c r="A2266" t="str">
        <f t="shared" si="74"/>
        <v>52</v>
      </c>
      <c r="B2266" t="str">
        <f>"52.1101"</f>
        <v>52.1101</v>
      </c>
      <c r="C2266" t="s">
        <v>8</v>
      </c>
      <c r="D2266" t="s">
        <v>12</v>
      </c>
      <c r="E2266" t="s">
        <v>5073</v>
      </c>
      <c r="F2266" t="s">
        <v>5074</v>
      </c>
      <c r="G2266" t="s">
        <v>5011</v>
      </c>
      <c r="H2266" t="s">
        <v>5075</v>
      </c>
    </row>
    <row r="2267" spans="1:8" x14ac:dyDescent="0.55000000000000004">
      <c r="A2267" t="str">
        <f t="shared" si="74"/>
        <v>52</v>
      </c>
      <c r="B2267" t="str">
        <f>"52.12"</f>
        <v>52.12</v>
      </c>
      <c r="C2267" t="s">
        <v>8</v>
      </c>
      <c r="D2267" t="s">
        <v>12</v>
      </c>
      <c r="E2267" t="s">
        <v>5076</v>
      </c>
      <c r="F2267" t="s">
        <v>5077</v>
      </c>
    </row>
    <row r="2268" spans="1:8" x14ac:dyDescent="0.55000000000000004">
      <c r="A2268" t="str">
        <f t="shared" si="74"/>
        <v>52</v>
      </c>
      <c r="B2268" t="str">
        <f>"52.1201"</f>
        <v>52.1201</v>
      </c>
      <c r="C2268" t="s">
        <v>8</v>
      </c>
      <c r="D2268" t="s">
        <v>12</v>
      </c>
      <c r="E2268" t="s">
        <v>5078</v>
      </c>
      <c r="F2268" t="s">
        <v>5079</v>
      </c>
      <c r="G2268" t="s">
        <v>5080</v>
      </c>
    </row>
    <row r="2269" spans="1:8" x14ac:dyDescent="0.55000000000000004">
      <c r="A2269" t="str">
        <f t="shared" si="74"/>
        <v>52</v>
      </c>
      <c r="B2269" t="str">
        <f>"52.1206"</f>
        <v>52.1206</v>
      </c>
      <c r="C2269" t="s">
        <v>8</v>
      </c>
      <c r="D2269" t="s">
        <v>12</v>
      </c>
      <c r="E2269" t="s">
        <v>5081</v>
      </c>
      <c r="F2269" t="s">
        <v>5082</v>
      </c>
      <c r="H2269" t="s">
        <v>5083</v>
      </c>
    </row>
    <row r="2270" spans="1:8" x14ac:dyDescent="0.55000000000000004">
      <c r="A2270" t="str">
        <f t="shared" si="74"/>
        <v>52</v>
      </c>
      <c r="B2270" t="str">
        <f>"52.1207"</f>
        <v>52.1207</v>
      </c>
      <c r="C2270" t="s">
        <v>8</v>
      </c>
      <c r="D2270" t="s">
        <v>12</v>
      </c>
      <c r="E2270" t="s">
        <v>5084</v>
      </c>
      <c r="F2270" t="s">
        <v>5085</v>
      </c>
    </row>
    <row r="2271" spans="1:8" x14ac:dyDescent="0.55000000000000004">
      <c r="A2271" t="str">
        <f t="shared" si="74"/>
        <v>52</v>
      </c>
      <c r="B2271" t="str">
        <f>"52.1299"</f>
        <v>52.1299</v>
      </c>
      <c r="C2271" t="s">
        <v>8</v>
      </c>
      <c r="D2271" t="s">
        <v>12</v>
      </c>
      <c r="E2271" t="s">
        <v>5086</v>
      </c>
      <c r="F2271" t="s">
        <v>5087</v>
      </c>
    </row>
    <row r="2272" spans="1:8" x14ac:dyDescent="0.55000000000000004">
      <c r="A2272" t="str">
        <f t="shared" si="74"/>
        <v>52</v>
      </c>
      <c r="B2272" t="str">
        <f>"52.13"</f>
        <v>52.13</v>
      </c>
      <c r="C2272" t="s">
        <v>8</v>
      </c>
      <c r="D2272" t="s">
        <v>12</v>
      </c>
      <c r="E2272" t="s">
        <v>5088</v>
      </c>
      <c r="F2272" t="s">
        <v>5089</v>
      </c>
    </row>
    <row r="2273" spans="1:8" x14ac:dyDescent="0.55000000000000004">
      <c r="A2273" t="str">
        <f t="shared" si="74"/>
        <v>52</v>
      </c>
      <c r="B2273" t="str">
        <f>"52.1301"</f>
        <v>52.1301</v>
      </c>
      <c r="C2273" t="s">
        <v>8</v>
      </c>
      <c r="D2273" t="s">
        <v>12</v>
      </c>
      <c r="E2273" t="s">
        <v>5090</v>
      </c>
      <c r="F2273" t="s">
        <v>5091</v>
      </c>
      <c r="H2273" t="s">
        <v>5092</v>
      </c>
    </row>
    <row r="2274" spans="1:8" x14ac:dyDescent="0.55000000000000004">
      <c r="A2274" t="str">
        <f t="shared" si="74"/>
        <v>52</v>
      </c>
      <c r="B2274" t="str">
        <f>"52.1302"</f>
        <v>52.1302</v>
      </c>
      <c r="C2274" t="s">
        <v>8</v>
      </c>
      <c r="D2274" t="s">
        <v>12</v>
      </c>
      <c r="E2274" t="s">
        <v>5093</v>
      </c>
      <c r="F2274" t="s">
        <v>5094</v>
      </c>
      <c r="G2274" t="s">
        <v>5095</v>
      </c>
    </row>
    <row r="2275" spans="1:8" x14ac:dyDescent="0.55000000000000004">
      <c r="A2275" t="str">
        <f t="shared" si="74"/>
        <v>52</v>
      </c>
      <c r="B2275" t="str">
        <f>"52.1304"</f>
        <v>52.1304</v>
      </c>
      <c r="C2275" t="s">
        <v>8</v>
      </c>
      <c r="D2275" t="s">
        <v>12</v>
      </c>
      <c r="E2275" t="s">
        <v>5096</v>
      </c>
      <c r="F2275" t="s">
        <v>5097</v>
      </c>
    </row>
    <row r="2276" spans="1:8" x14ac:dyDescent="0.55000000000000004">
      <c r="A2276" t="str">
        <f t="shared" si="74"/>
        <v>52</v>
      </c>
      <c r="B2276" t="str">
        <f>"52.1399"</f>
        <v>52.1399</v>
      </c>
      <c r="C2276" t="s">
        <v>8</v>
      </c>
      <c r="D2276" t="s">
        <v>12</v>
      </c>
      <c r="E2276" t="s">
        <v>5098</v>
      </c>
      <c r="F2276" t="s">
        <v>5099</v>
      </c>
    </row>
    <row r="2277" spans="1:8" x14ac:dyDescent="0.55000000000000004">
      <c r="A2277" t="str">
        <f t="shared" si="74"/>
        <v>52</v>
      </c>
      <c r="B2277" t="str">
        <f>"52.14"</f>
        <v>52.14</v>
      </c>
      <c r="C2277" t="s">
        <v>8</v>
      </c>
      <c r="D2277" t="s">
        <v>12</v>
      </c>
      <c r="E2277" t="s">
        <v>5100</v>
      </c>
      <c r="F2277" t="s">
        <v>5101</v>
      </c>
    </row>
    <row r="2278" spans="1:8" x14ac:dyDescent="0.55000000000000004">
      <c r="A2278" t="str">
        <f t="shared" si="74"/>
        <v>52</v>
      </c>
      <c r="B2278" t="str">
        <f>"52.1401"</f>
        <v>52.1401</v>
      </c>
      <c r="C2278" t="s">
        <v>8</v>
      </c>
      <c r="D2278" t="s">
        <v>12</v>
      </c>
      <c r="E2278" t="s">
        <v>5102</v>
      </c>
      <c r="F2278" t="s">
        <v>5103</v>
      </c>
      <c r="H2278" t="s">
        <v>5104</v>
      </c>
    </row>
    <row r="2279" spans="1:8" x14ac:dyDescent="0.55000000000000004">
      <c r="A2279" t="str">
        <f t="shared" si="74"/>
        <v>52</v>
      </c>
      <c r="B2279" t="str">
        <f>"52.1402"</f>
        <v>52.1402</v>
      </c>
      <c r="C2279" t="s">
        <v>8</v>
      </c>
      <c r="D2279" t="s">
        <v>12</v>
      </c>
      <c r="E2279" t="s">
        <v>5105</v>
      </c>
      <c r="F2279" t="s">
        <v>5106</v>
      </c>
    </row>
    <row r="2280" spans="1:8" x14ac:dyDescent="0.55000000000000004">
      <c r="A2280" t="str">
        <f t="shared" si="74"/>
        <v>52</v>
      </c>
      <c r="B2280" t="str">
        <f>"52.1403"</f>
        <v>52.1403</v>
      </c>
      <c r="C2280" t="s">
        <v>8</v>
      </c>
      <c r="D2280" t="s">
        <v>12</v>
      </c>
      <c r="E2280" t="s">
        <v>5107</v>
      </c>
      <c r="F2280" t="s">
        <v>5108</v>
      </c>
      <c r="G2280" t="s">
        <v>5011</v>
      </c>
    </row>
    <row r="2281" spans="1:8" x14ac:dyDescent="0.55000000000000004">
      <c r="A2281" t="str">
        <f t="shared" si="74"/>
        <v>52</v>
      </c>
      <c r="B2281" t="str">
        <f>"52.1404"</f>
        <v>52.1404</v>
      </c>
      <c r="C2281" t="s">
        <v>47</v>
      </c>
      <c r="D2281" t="s">
        <v>12</v>
      </c>
      <c r="E2281" t="s">
        <v>5109</v>
      </c>
      <c r="F2281" t="s">
        <v>5110</v>
      </c>
      <c r="H2281" t="s">
        <v>5111</v>
      </c>
    </row>
    <row r="2282" spans="1:8" x14ac:dyDescent="0.55000000000000004">
      <c r="A2282" t="str">
        <f t="shared" si="74"/>
        <v>52</v>
      </c>
      <c r="B2282" t="str">
        <f>"52.1499"</f>
        <v>52.1499</v>
      </c>
      <c r="C2282" t="s">
        <v>8</v>
      </c>
      <c r="D2282" t="s">
        <v>12</v>
      </c>
      <c r="E2282" t="s">
        <v>5112</v>
      </c>
      <c r="F2282" t="s">
        <v>5113</v>
      </c>
      <c r="G2282" t="s">
        <v>5114</v>
      </c>
    </row>
    <row r="2283" spans="1:8" x14ac:dyDescent="0.55000000000000004">
      <c r="A2283" t="str">
        <f t="shared" ref="A2283:A2316" si="75">"52"</f>
        <v>52</v>
      </c>
      <c r="B2283" t="str">
        <f>"52.15"</f>
        <v>52.15</v>
      </c>
      <c r="C2283" t="s">
        <v>8</v>
      </c>
      <c r="D2283" t="s">
        <v>12</v>
      </c>
      <c r="E2283" t="s">
        <v>5115</v>
      </c>
      <c r="F2283" t="s">
        <v>5116</v>
      </c>
    </row>
    <row r="2284" spans="1:8" x14ac:dyDescent="0.55000000000000004">
      <c r="A2284" t="str">
        <f t="shared" si="75"/>
        <v>52</v>
      </c>
      <c r="B2284" t="str">
        <f>"52.1501"</f>
        <v>52.1501</v>
      </c>
      <c r="C2284" t="s">
        <v>8</v>
      </c>
      <c r="D2284" t="s">
        <v>12</v>
      </c>
      <c r="E2284" t="s">
        <v>5115</v>
      </c>
      <c r="F2284" t="s">
        <v>5117</v>
      </c>
      <c r="G2284" t="s">
        <v>5118</v>
      </c>
      <c r="H2284" t="s">
        <v>5119</v>
      </c>
    </row>
    <row r="2285" spans="1:8" x14ac:dyDescent="0.55000000000000004">
      <c r="A2285" t="str">
        <f t="shared" si="75"/>
        <v>52</v>
      </c>
      <c r="B2285" t="str">
        <f>"52.16"</f>
        <v>52.16</v>
      </c>
      <c r="C2285" t="s">
        <v>8</v>
      </c>
      <c r="D2285" t="s">
        <v>12</v>
      </c>
      <c r="E2285" t="s">
        <v>5120</v>
      </c>
      <c r="F2285" t="s">
        <v>5121</v>
      </c>
    </row>
    <row r="2286" spans="1:8" x14ac:dyDescent="0.55000000000000004">
      <c r="A2286" t="str">
        <f t="shared" si="75"/>
        <v>52</v>
      </c>
      <c r="B2286" t="str">
        <f>"52.1601"</f>
        <v>52.1601</v>
      </c>
      <c r="C2286" t="s">
        <v>8</v>
      </c>
      <c r="D2286" t="s">
        <v>12</v>
      </c>
      <c r="E2286" t="s">
        <v>5120</v>
      </c>
      <c r="F2286" t="s">
        <v>5122</v>
      </c>
    </row>
    <row r="2287" spans="1:8" x14ac:dyDescent="0.55000000000000004">
      <c r="A2287" t="str">
        <f t="shared" si="75"/>
        <v>52</v>
      </c>
      <c r="B2287" t="str">
        <f>"52.17"</f>
        <v>52.17</v>
      </c>
      <c r="C2287" t="s">
        <v>8</v>
      </c>
      <c r="D2287" t="s">
        <v>12</v>
      </c>
      <c r="E2287" t="s">
        <v>5123</v>
      </c>
      <c r="F2287" t="s">
        <v>5124</v>
      </c>
    </row>
    <row r="2288" spans="1:8" x14ac:dyDescent="0.55000000000000004">
      <c r="A2288" t="str">
        <f t="shared" si="75"/>
        <v>52</v>
      </c>
      <c r="B2288" t="str">
        <f>"52.1701"</f>
        <v>52.1701</v>
      </c>
      <c r="C2288" t="s">
        <v>8</v>
      </c>
      <c r="D2288" t="s">
        <v>12</v>
      </c>
      <c r="E2288" t="s">
        <v>5123</v>
      </c>
      <c r="F2288" t="s">
        <v>5125</v>
      </c>
    </row>
    <row r="2289" spans="1:7" x14ac:dyDescent="0.55000000000000004">
      <c r="A2289" t="str">
        <f t="shared" si="75"/>
        <v>52</v>
      </c>
      <c r="B2289" t="str">
        <f>"52.18"</f>
        <v>52.18</v>
      </c>
      <c r="C2289" t="s">
        <v>8</v>
      </c>
      <c r="D2289" t="s">
        <v>12</v>
      </c>
      <c r="E2289" t="s">
        <v>5126</v>
      </c>
      <c r="F2289" t="s">
        <v>5127</v>
      </c>
    </row>
    <row r="2290" spans="1:7" x14ac:dyDescent="0.55000000000000004">
      <c r="A2290" t="str">
        <f t="shared" si="75"/>
        <v>52</v>
      </c>
      <c r="B2290" t="str">
        <f>"52.1801"</f>
        <v>52.1801</v>
      </c>
      <c r="C2290" t="s">
        <v>8</v>
      </c>
      <c r="D2290" t="s">
        <v>12</v>
      </c>
      <c r="E2290" t="s">
        <v>5128</v>
      </c>
      <c r="F2290" t="s">
        <v>5129</v>
      </c>
    </row>
    <row r="2291" spans="1:7" x14ac:dyDescent="0.55000000000000004">
      <c r="A2291" t="str">
        <f t="shared" si="75"/>
        <v>52</v>
      </c>
      <c r="B2291" t="str">
        <f>"52.1802"</f>
        <v>52.1802</v>
      </c>
      <c r="C2291" t="s">
        <v>8</v>
      </c>
      <c r="D2291" t="s">
        <v>12</v>
      </c>
      <c r="E2291" t="s">
        <v>5130</v>
      </c>
      <c r="F2291" t="s">
        <v>5131</v>
      </c>
    </row>
    <row r="2292" spans="1:7" x14ac:dyDescent="0.55000000000000004">
      <c r="A2292" t="str">
        <f t="shared" si="75"/>
        <v>52</v>
      </c>
      <c r="B2292" t="str">
        <f>"52.1803"</f>
        <v>52.1803</v>
      </c>
      <c r="C2292" t="s">
        <v>8</v>
      </c>
      <c r="D2292" t="s">
        <v>12</v>
      </c>
      <c r="E2292" t="s">
        <v>5132</v>
      </c>
      <c r="F2292" t="s">
        <v>5133</v>
      </c>
    </row>
    <row r="2293" spans="1:7" x14ac:dyDescent="0.55000000000000004">
      <c r="A2293" t="str">
        <f t="shared" si="75"/>
        <v>52</v>
      </c>
      <c r="B2293" t="str">
        <f>"52.1804"</f>
        <v>52.1804</v>
      </c>
      <c r="C2293" t="s">
        <v>8</v>
      </c>
      <c r="D2293" t="s">
        <v>12</v>
      </c>
      <c r="E2293" t="s">
        <v>5134</v>
      </c>
      <c r="F2293" t="s">
        <v>5135</v>
      </c>
    </row>
    <row r="2294" spans="1:7" x14ac:dyDescent="0.55000000000000004">
      <c r="A2294" t="str">
        <f t="shared" si="75"/>
        <v>52</v>
      </c>
      <c r="B2294" t="str">
        <f>"52.1880"</f>
        <v>52.1880</v>
      </c>
      <c r="C2294" t="s">
        <v>47</v>
      </c>
      <c r="D2294" t="s">
        <v>12</v>
      </c>
      <c r="E2294" t="s">
        <v>82</v>
      </c>
      <c r="F2294" t="s">
        <v>83</v>
      </c>
    </row>
    <row r="2295" spans="1:7" x14ac:dyDescent="0.55000000000000004">
      <c r="A2295" t="str">
        <f t="shared" si="75"/>
        <v>52</v>
      </c>
      <c r="B2295" t="str">
        <f>"52.1899"</f>
        <v>52.1899</v>
      </c>
      <c r="C2295" t="s">
        <v>8</v>
      </c>
      <c r="D2295" t="s">
        <v>12</v>
      </c>
      <c r="E2295" t="s">
        <v>5136</v>
      </c>
      <c r="F2295" t="s">
        <v>5137</v>
      </c>
    </row>
    <row r="2296" spans="1:7" x14ac:dyDescent="0.55000000000000004">
      <c r="A2296" t="str">
        <f t="shared" si="75"/>
        <v>52</v>
      </c>
      <c r="B2296" t="str">
        <f>"52.19"</f>
        <v>52.19</v>
      </c>
      <c r="C2296" t="s">
        <v>8</v>
      </c>
      <c r="D2296" t="s">
        <v>12</v>
      </c>
      <c r="E2296" t="s">
        <v>5138</v>
      </c>
      <c r="F2296" t="s">
        <v>5139</v>
      </c>
    </row>
    <row r="2297" spans="1:7" x14ac:dyDescent="0.55000000000000004">
      <c r="A2297" t="str">
        <f t="shared" si="75"/>
        <v>52</v>
      </c>
      <c r="B2297" t="str">
        <f>"52.1901"</f>
        <v>52.1901</v>
      </c>
      <c r="C2297" t="s">
        <v>8</v>
      </c>
      <c r="D2297" t="s">
        <v>12</v>
      </c>
      <c r="E2297" t="s">
        <v>5140</v>
      </c>
      <c r="F2297" t="s">
        <v>5141</v>
      </c>
    </row>
    <row r="2298" spans="1:7" x14ac:dyDescent="0.55000000000000004">
      <c r="A2298" t="str">
        <f t="shared" si="75"/>
        <v>52</v>
      </c>
      <c r="B2298" t="str">
        <f>"52.1902"</f>
        <v>52.1902</v>
      </c>
      <c r="C2298" t="s">
        <v>8</v>
      </c>
      <c r="D2298" t="s">
        <v>12</v>
      </c>
      <c r="E2298" t="s">
        <v>5142</v>
      </c>
      <c r="F2298" t="s">
        <v>5143</v>
      </c>
      <c r="G2298" t="s">
        <v>5144</v>
      </c>
    </row>
    <row r="2299" spans="1:7" x14ac:dyDescent="0.55000000000000004">
      <c r="A2299" t="str">
        <f t="shared" si="75"/>
        <v>52</v>
      </c>
      <c r="B2299" t="str">
        <f>"52.1903"</f>
        <v>52.1903</v>
      </c>
      <c r="C2299" t="s">
        <v>8</v>
      </c>
      <c r="D2299" t="s">
        <v>12</v>
      </c>
      <c r="E2299" t="s">
        <v>5145</v>
      </c>
      <c r="F2299" t="s">
        <v>5146</v>
      </c>
    </row>
    <row r="2300" spans="1:7" x14ac:dyDescent="0.55000000000000004">
      <c r="A2300" t="str">
        <f t="shared" si="75"/>
        <v>52</v>
      </c>
      <c r="B2300" t="str">
        <f>"52.1904"</f>
        <v>52.1904</v>
      </c>
      <c r="C2300" t="s">
        <v>8</v>
      </c>
      <c r="D2300" t="s">
        <v>12</v>
      </c>
      <c r="E2300" t="s">
        <v>5147</v>
      </c>
      <c r="F2300" t="s">
        <v>5148</v>
      </c>
    </row>
    <row r="2301" spans="1:7" x14ac:dyDescent="0.55000000000000004">
      <c r="A2301" t="str">
        <f t="shared" si="75"/>
        <v>52</v>
      </c>
      <c r="B2301" t="str">
        <f>"52.1905"</f>
        <v>52.1905</v>
      </c>
      <c r="C2301" t="s">
        <v>8</v>
      </c>
      <c r="D2301" t="s">
        <v>12</v>
      </c>
      <c r="E2301" t="s">
        <v>5149</v>
      </c>
      <c r="F2301" t="s">
        <v>5150</v>
      </c>
    </row>
    <row r="2302" spans="1:7" x14ac:dyDescent="0.55000000000000004">
      <c r="A2302" t="str">
        <f t="shared" si="75"/>
        <v>52</v>
      </c>
      <c r="B2302" t="str">
        <f>"52.1906"</f>
        <v>52.1906</v>
      </c>
      <c r="C2302" t="s">
        <v>8</v>
      </c>
      <c r="D2302" t="s">
        <v>12</v>
      </c>
      <c r="E2302" t="s">
        <v>5151</v>
      </c>
      <c r="F2302" t="s">
        <v>5152</v>
      </c>
    </row>
    <row r="2303" spans="1:7" x14ac:dyDescent="0.55000000000000004">
      <c r="A2303" t="str">
        <f t="shared" si="75"/>
        <v>52</v>
      </c>
      <c r="B2303" t="str">
        <f>"52.1907"</f>
        <v>52.1907</v>
      </c>
      <c r="C2303" t="s">
        <v>8</v>
      </c>
      <c r="D2303" t="s">
        <v>12</v>
      </c>
      <c r="E2303" t="s">
        <v>5153</v>
      </c>
      <c r="F2303" t="s">
        <v>5154</v>
      </c>
    </row>
    <row r="2304" spans="1:7" x14ac:dyDescent="0.55000000000000004">
      <c r="A2304" t="str">
        <f t="shared" si="75"/>
        <v>52</v>
      </c>
      <c r="B2304" t="str">
        <f>"52.1908"</f>
        <v>52.1908</v>
      </c>
      <c r="C2304" t="s">
        <v>8</v>
      </c>
      <c r="D2304" t="s">
        <v>12</v>
      </c>
      <c r="E2304" t="s">
        <v>5155</v>
      </c>
      <c r="F2304" t="s">
        <v>5156</v>
      </c>
    </row>
    <row r="2305" spans="1:8" x14ac:dyDescent="0.55000000000000004">
      <c r="A2305" t="str">
        <f t="shared" si="75"/>
        <v>52</v>
      </c>
      <c r="B2305" t="str">
        <f>"52.1909"</f>
        <v>52.1909</v>
      </c>
      <c r="C2305" t="s">
        <v>8</v>
      </c>
      <c r="D2305" t="s">
        <v>12</v>
      </c>
      <c r="E2305" t="s">
        <v>5157</v>
      </c>
      <c r="F2305" t="s">
        <v>5158</v>
      </c>
    </row>
    <row r="2306" spans="1:8" x14ac:dyDescent="0.55000000000000004">
      <c r="A2306" t="str">
        <f t="shared" si="75"/>
        <v>52</v>
      </c>
      <c r="B2306" t="str">
        <f>"52.1910"</f>
        <v>52.1910</v>
      </c>
      <c r="C2306" t="s">
        <v>8</v>
      </c>
      <c r="D2306" t="s">
        <v>12</v>
      </c>
      <c r="E2306" t="s">
        <v>5159</v>
      </c>
      <c r="F2306" t="s">
        <v>5160</v>
      </c>
    </row>
    <row r="2307" spans="1:8" x14ac:dyDescent="0.55000000000000004">
      <c r="A2307" t="str">
        <f t="shared" si="75"/>
        <v>52</v>
      </c>
      <c r="B2307" t="str">
        <f>"52.1980"</f>
        <v>52.1980</v>
      </c>
      <c r="C2307" t="s">
        <v>47</v>
      </c>
      <c r="D2307" t="s">
        <v>12</v>
      </c>
      <c r="E2307" t="s">
        <v>82</v>
      </c>
      <c r="F2307" t="s">
        <v>83</v>
      </c>
    </row>
    <row r="2308" spans="1:8" x14ac:dyDescent="0.55000000000000004">
      <c r="A2308" t="str">
        <f t="shared" si="75"/>
        <v>52</v>
      </c>
      <c r="B2308" t="str">
        <f>"52.1999"</f>
        <v>52.1999</v>
      </c>
      <c r="C2308" t="s">
        <v>8</v>
      </c>
      <c r="D2308" t="s">
        <v>12</v>
      </c>
      <c r="E2308" t="s">
        <v>5161</v>
      </c>
      <c r="F2308" t="s">
        <v>5162</v>
      </c>
      <c r="H2308" t="s">
        <v>5163</v>
      </c>
    </row>
    <row r="2309" spans="1:8" x14ac:dyDescent="0.55000000000000004">
      <c r="A2309" t="str">
        <f t="shared" si="75"/>
        <v>52</v>
      </c>
      <c r="B2309" t="str">
        <f>"52.20"</f>
        <v>52.20</v>
      </c>
      <c r="C2309" t="s">
        <v>8</v>
      </c>
      <c r="D2309" t="s">
        <v>12</v>
      </c>
      <c r="E2309" t="s">
        <v>5164</v>
      </c>
      <c r="F2309" t="s">
        <v>5165</v>
      </c>
    </row>
    <row r="2310" spans="1:8" x14ac:dyDescent="0.55000000000000004">
      <c r="A2310" t="str">
        <f t="shared" si="75"/>
        <v>52</v>
      </c>
      <c r="B2310" t="str">
        <f>"52.2001"</f>
        <v>52.2001</v>
      </c>
      <c r="C2310" t="s">
        <v>8</v>
      </c>
      <c r="D2310" t="s">
        <v>9</v>
      </c>
      <c r="E2310" t="s">
        <v>5166</v>
      </c>
      <c r="F2310" t="s">
        <v>5167</v>
      </c>
      <c r="G2310" t="s">
        <v>5168</v>
      </c>
    </row>
    <row r="2311" spans="1:8" x14ac:dyDescent="0.55000000000000004">
      <c r="A2311" t="str">
        <f t="shared" si="75"/>
        <v>52</v>
      </c>
      <c r="B2311" t="str">
        <f>"52.2002"</f>
        <v>52.2002</v>
      </c>
      <c r="C2311" t="s">
        <v>47</v>
      </c>
      <c r="D2311" t="s">
        <v>12</v>
      </c>
      <c r="E2311" t="s">
        <v>5169</v>
      </c>
      <c r="F2311" t="s">
        <v>5170</v>
      </c>
    </row>
    <row r="2312" spans="1:8" x14ac:dyDescent="0.55000000000000004">
      <c r="A2312" t="str">
        <f t="shared" si="75"/>
        <v>52</v>
      </c>
      <c r="B2312" t="str">
        <f>"52.2099"</f>
        <v>52.2099</v>
      </c>
      <c r="C2312" t="s">
        <v>47</v>
      </c>
      <c r="D2312" t="s">
        <v>12</v>
      </c>
      <c r="E2312" t="s">
        <v>5171</v>
      </c>
      <c r="F2312" t="s">
        <v>5172</v>
      </c>
    </row>
    <row r="2313" spans="1:8" x14ac:dyDescent="0.55000000000000004">
      <c r="A2313" t="str">
        <f t="shared" si="75"/>
        <v>52</v>
      </c>
      <c r="B2313" t="str">
        <f>"52.21"</f>
        <v>52.21</v>
      </c>
      <c r="C2313" t="s">
        <v>8</v>
      </c>
      <c r="D2313" t="s">
        <v>12</v>
      </c>
      <c r="E2313" t="s">
        <v>5173</v>
      </c>
      <c r="F2313" t="s">
        <v>5174</v>
      </c>
    </row>
    <row r="2314" spans="1:8" x14ac:dyDescent="0.55000000000000004">
      <c r="A2314" t="str">
        <f t="shared" si="75"/>
        <v>52</v>
      </c>
      <c r="B2314" t="str">
        <f>"52.2101"</f>
        <v>52.2101</v>
      </c>
      <c r="C2314" t="s">
        <v>8</v>
      </c>
      <c r="D2314" t="s">
        <v>12</v>
      </c>
      <c r="E2314" t="s">
        <v>5173</v>
      </c>
      <c r="F2314" t="s">
        <v>5175</v>
      </c>
    </row>
    <row r="2315" spans="1:8" x14ac:dyDescent="0.55000000000000004">
      <c r="A2315" t="str">
        <f t="shared" si="75"/>
        <v>52</v>
      </c>
      <c r="B2315" t="str">
        <f>"52.99"</f>
        <v>52.99</v>
      </c>
      <c r="C2315" t="s">
        <v>8</v>
      </c>
      <c r="D2315" t="s">
        <v>12</v>
      </c>
      <c r="E2315" t="s">
        <v>5176</v>
      </c>
      <c r="F2315" t="s">
        <v>5177</v>
      </c>
    </row>
    <row r="2316" spans="1:8" x14ac:dyDescent="0.55000000000000004">
      <c r="A2316" t="str">
        <f t="shared" si="75"/>
        <v>52</v>
      </c>
      <c r="B2316" t="str">
        <f>"52.9999"</f>
        <v>52.9999</v>
      </c>
      <c r="C2316" t="s">
        <v>8</v>
      </c>
      <c r="D2316" t="s">
        <v>12</v>
      </c>
      <c r="E2316" t="s">
        <v>5176</v>
      </c>
      <c r="F2316" t="s">
        <v>5178</v>
      </c>
    </row>
    <row r="2317" spans="1:8" x14ac:dyDescent="0.55000000000000004">
      <c r="A2317" t="str">
        <f>"53"</f>
        <v>53</v>
      </c>
      <c r="B2317" t="str">
        <f>"53"</f>
        <v>53</v>
      </c>
      <c r="C2317" t="s">
        <v>8</v>
      </c>
      <c r="D2317" t="s">
        <v>12</v>
      </c>
      <c r="E2317" t="s">
        <v>5179</v>
      </c>
      <c r="F2317" t="s">
        <v>5180</v>
      </c>
    </row>
    <row r="2318" spans="1:8" x14ac:dyDescent="0.55000000000000004">
      <c r="A2318" t="str">
        <f t="shared" ref="A2318:A2329" si="76">"53"</f>
        <v>53</v>
      </c>
      <c r="B2318" t="str">
        <f>"53.01"</f>
        <v>53.01</v>
      </c>
      <c r="C2318" t="s">
        <v>8</v>
      </c>
      <c r="D2318" t="s">
        <v>12</v>
      </c>
      <c r="E2318" t="s">
        <v>5181</v>
      </c>
      <c r="F2318" t="s">
        <v>5182</v>
      </c>
    </row>
    <row r="2319" spans="1:8" x14ac:dyDescent="0.55000000000000004">
      <c r="A2319" t="str">
        <f t="shared" si="76"/>
        <v>53</v>
      </c>
      <c r="B2319" t="str">
        <f>"53.0101"</f>
        <v>53.0101</v>
      </c>
      <c r="C2319" t="s">
        <v>8</v>
      </c>
      <c r="D2319" t="s">
        <v>12</v>
      </c>
      <c r="E2319" t="s">
        <v>5183</v>
      </c>
      <c r="F2319" t="s">
        <v>5184</v>
      </c>
    </row>
    <row r="2320" spans="1:8" x14ac:dyDescent="0.55000000000000004">
      <c r="A2320" t="str">
        <f t="shared" si="76"/>
        <v>53</v>
      </c>
      <c r="B2320" t="str">
        <f>"53.0102"</f>
        <v>53.0102</v>
      </c>
      <c r="C2320" t="s">
        <v>8</v>
      </c>
      <c r="D2320" t="s">
        <v>12</v>
      </c>
      <c r="E2320" t="s">
        <v>5185</v>
      </c>
      <c r="F2320" t="s">
        <v>5186</v>
      </c>
    </row>
    <row r="2321" spans="1:7" x14ac:dyDescent="0.55000000000000004">
      <c r="A2321" t="str">
        <f t="shared" si="76"/>
        <v>53</v>
      </c>
      <c r="B2321" t="str">
        <f>"53.0103"</f>
        <v>53.0103</v>
      </c>
      <c r="C2321" t="s">
        <v>8</v>
      </c>
      <c r="D2321" t="s">
        <v>12</v>
      </c>
      <c r="E2321" t="s">
        <v>5187</v>
      </c>
      <c r="F2321" t="s">
        <v>5188</v>
      </c>
    </row>
    <row r="2322" spans="1:7" x14ac:dyDescent="0.55000000000000004">
      <c r="A2322" t="str">
        <f t="shared" si="76"/>
        <v>53</v>
      </c>
      <c r="B2322" t="str">
        <f>"53.0104"</f>
        <v>53.0104</v>
      </c>
      <c r="C2322" t="s">
        <v>8</v>
      </c>
      <c r="D2322" t="s">
        <v>12</v>
      </c>
      <c r="E2322" t="s">
        <v>5189</v>
      </c>
      <c r="F2322" t="s">
        <v>5190</v>
      </c>
    </row>
    <row r="2323" spans="1:7" x14ac:dyDescent="0.55000000000000004">
      <c r="A2323" t="str">
        <f t="shared" si="76"/>
        <v>53</v>
      </c>
      <c r="B2323" t="str">
        <f>"53.0105"</f>
        <v>53.0105</v>
      </c>
      <c r="C2323" t="s">
        <v>8</v>
      </c>
      <c r="D2323" t="s">
        <v>12</v>
      </c>
      <c r="E2323" t="s">
        <v>5191</v>
      </c>
      <c r="F2323" t="s">
        <v>5192</v>
      </c>
    </row>
    <row r="2324" spans="1:7" x14ac:dyDescent="0.55000000000000004">
      <c r="A2324" t="str">
        <f t="shared" si="76"/>
        <v>53</v>
      </c>
      <c r="B2324" t="str">
        <f>"53.0199"</f>
        <v>53.0199</v>
      </c>
      <c r="C2324" t="s">
        <v>8</v>
      </c>
      <c r="D2324" t="s">
        <v>12</v>
      </c>
      <c r="E2324" t="s">
        <v>5193</v>
      </c>
      <c r="F2324" t="s">
        <v>5194</v>
      </c>
    </row>
    <row r="2325" spans="1:7" x14ac:dyDescent="0.55000000000000004">
      <c r="A2325" t="str">
        <f t="shared" si="76"/>
        <v>53</v>
      </c>
      <c r="B2325" t="str">
        <f>"53.02"</f>
        <v>53.02</v>
      </c>
      <c r="C2325" t="s">
        <v>8</v>
      </c>
      <c r="D2325" t="s">
        <v>12</v>
      </c>
      <c r="E2325" t="s">
        <v>5195</v>
      </c>
      <c r="F2325" t="s">
        <v>5196</v>
      </c>
    </row>
    <row r="2326" spans="1:7" x14ac:dyDescent="0.55000000000000004">
      <c r="A2326" t="str">
        <f t="shared" si="76"/>
        <v>53</v>
      </c>
      <c r="B2326" t="str">
        <f>"53.0201"</f>
        <v>53.0201</v>
      </c>
      <c r="C2326" t="s">
        <v>8</v>
      </c>
      <c r="D2326" t="s">
        <v>12</v>
      </c>
      <c r="E2326" t="s">
        <v>5197</v>
      </c>
      <c r="F2326" t="s">
        <v>5198</v>
      </c>
    </row>
    <row r="2327" spans="1:7" x14ac:dyDescent="0.55000000000000004">
      <c r="A2327" t="str">
        <f t="shared" si="76"/>
        <v>53</v>
      </c>
      <c r="B2327" t="str">
        <f>"53.0202"</f>
        <v>53.0202</v>
      </c>
      <c r="C2327" t="s">
        <v>8</v>
      </c>
      <c r="D2327" t="s">
        <v>12</v>
      </c>
      <c r="E2327" t="s">
        <v>5199</v>
      </c>
      <c r="F2327" t="s">
        <v>5200</v>
      </c>
    </row>
    <row r="2328" spans="1:7" x14ac:dyDescent="0.55000000000000004">
      <c r="A2328" t="str">
        <f t="shared" si="76"/>
        <v>53</v>
      </c>
      <c r="B2328" t="str">
        <f>"53.0203"</f>
        <v>53.0203</v>
      </c>
      <c r="C2328" t="s">
        <v>8</v>
      </c>
      <c r="D2328" t="s">
        <v>12</v>
      </c>
      <c r="E2328" t="s">
        <v>5201</v>
      </c>
      <c r="F2328" t="s">
        <v>5202</v>
      </c>
    </row>
    <row r="2329" spans="1:7" x14ac:dyDescent="0.55000000000000004">
      <c r="A2329" t="str">
        <f t="shared" si="76"/>
        <v>53</v>
      </c>
      <c r="B2329" t="str">
        <f>"53.0299"</f>
        <v>53.0299</v>
      </c>
      <c r="C2329" t="s">
        <v>8</v>
      </c>
      <c r="D2329" t="s">
        <v>12</v>
      </c>
      <c r="E2329" t="s">
        <v>5203</v>
      </c>
      <c r="F2329" t="s">
        <v>5204</v>
      </c>
    </row>
    <row r="2330" spans="1:7" x14ac:dyDescent="0.55000000000000004">
      <c r="A2330" t="str">
        <f>"54"</f>
        <v>54</v>
      </c>
      <c r="B2330" t="str">
        <f>"54"</f>
        <v>54</v>
      </c>
      <c r="C2330" t="s">
        <v>8</v>
      </c>
      <c r="D2330" t="s">
        <v>12</v>
      </c>
      <c r="E2330" t="s">
        <v>5205</v>
      </c>
      <c r="F2330" t="s">
        <v>5206</v>
      </c>
    </row>
    <row r="2331" spans="1:7" x14ac:dyDescent="0.55000000000000004">
      <c r="A2331" t="str">
        <f t="shared" ref="A2331:A2340" si="77">"54"</f>
        <v>54</v>
      </c>
      <c r="B2331" t="str">
        <f>"54.01"</f>
        <v>54.01</v>
      </c>
      <c r="C2331" t="s">
        <v>8</v>
      </c>
      <c r="D2331" t="s">
        <v>12</v>
      </c>
      <c r="E2331" t="s">
        <v>5207</v>
      </c>
      <c r="F2331" t="s">
        <v>5208</v>
      </c>
    </row>
    <row r="2332" spans="1:7" x14ac:dyDescent="0.55000000000000004">
      <c r="A2332" t="str">
        <f t="shared" si="77"/>
        <v>54</v>
      </c>
      <c r="B2332" t="str">
        <f>"54.0101"</f>
        <v>54.0101</v>
      </c>
      <c r="C2332" t="s">
        <v>8</v>
      </c>
      <c r="D2332" t="s">
        <v>12</v>
      </c>
      <c r="E2332" t="s">
        <v>5209</v>
      </c>
      <c r="F2332" t="s">
        <v>5210</v>
      </c>
      <c r="G2332" t="s">
        <v>5211</v>
      </c>
    </row>
    <row r="2333" spans="1:7" x14ac:dyDescent="0.55000000000000004">
      <c r="A2333" t="str">
        <f t="shared" si="77"/>
        <v>54</v>
      </c>
      <c r="B2333" t="str">
        <f>"54.0102"</f>
        <v>54.0102</v>
      </c>
      <c r="C2333" t="s">
        <v>8</v>
      </c>
      <c r="D2333" t="s">
        <v>12</v>
      </c>
      <c r="E2333" t="s">
        <v>5212</v>
      </c>
      <c r="F2333" t="s">
        <v>5213</v>
      </c>
    </row>
    <row r="2334" spans="1:7" x14ac:dyDescent="0.55000000000000004">
      <c r="A2334" t="str">
        <f t="shared" si="77"/>
        <v>54</v>
      </c>
      <c r="B2334" t="str">
        <f>"54.0103"</f>
        <v>54.0103</v>
      </c>
      <c r="C2334" t="s">
        <v>8</v>
      </c>
      <c r="D2334" t="s">
        <v>12</v>
      </c>
      <c r="E2334" t="s">
        <v>5214</v>
      </c>
      <c r="F2334" t="s">
        <v>5215</v>
      </c>
      <c r="G2334" t="s">
        <v>5216</v>
      </c>
    </row>
    <row r="2335" spans="1:7" x14ac:dyDescent="0.55000000000000004">
      <c r="A2335" t="str">
        <f t="shared" si="77"/>
        <v>54</v>
      </c>
      <c r="B2335" t="str">
        <f>"54.0104"</f>
        <v>54.0104</v>
      </c>
      <c r="C2335" t="s">
        <v>8</v>
      </c>
      <c r="D2335" t="s">
        <v>12</v>
      </c>
      <c r="E2335" t="s">
        <v>5217</v>
      </c>
      <c r="F2335" t="s">
        <v>5218</v>
      </c>
      <c r="G2335" t="s">
        <v>5219</v>
      </c>
    </row>
    <row r="2336" spans="1:7" x14ac:dyDescent="0.55000000000000004">
      <c r="A2336" t="str">
        <f t="shared" si="77"/>
        <v>54</v>
      </c>
      <c r="B2336" t="str">
        <f>"54.0105"</f>
        <v>54.0105</v>
      </c>
      <c r="C2336" t="s">
        <v>8</v>
      </c>
      <c r="D2336" t="s">
        <v>12</v>
      </c>
      <c r="E2336" t="s">
        <v>5220</v>
      </c>
      <c r="F2336" t="s">
        <v>5221</v>
      </c>
      <c r="G2336" t="s">
        <v>5222</v>
      </c>
    </row>
    <row r="2337" spans="1:8" x14ac:dyDescent="0.55000000000000004">
      <c r="A2337" t="str">
        <f t="shared" si="77"/>
        <v>54</v>
      </c>
      <c r="B2337" t="str">
        <f>"54.0106"</f>
        <v>54.0106</v>
      </c>
      <c r="C2337" t="s">
        <v>8</v>
      </c>
      <c r="D2337" t="s">
        <v>12</v>
      </c>
      <c r="E2337" t="s">
        <v>5223</v>
      </c>
      <c r="F2337" t="s">
        <v>5224</v>
      </c>
    </row>
    <row r="2338" spans="1:8" x14ac:dyDescent="0.55000000000000004">
      <c r="A2338" t="str">
        <f t="shared" si="77"/>
        <v>54</v>
      </c>
      <c r="B2338" t="str">
        <f>"54.0107"</f>
        <v>54.0107</v>
      </c>
      <c r="C2338" t="s">
        <v>8</v>
      </c>
      <c r="D2338" t="s">
        <v>12</v>
      </c>
      <c r="E2338" t="s">
        <v>5225</v>
      </c>
      <c r="F2338" t="s">
        <v>5226</v>
      </c>
    </row>
    <row r="2339" spans="1:8" x14ac:dyDescent="0.55000000000000004">
      <c r="A2339" t="str">
        <f t="shared" si="77"/>
        <v>54</v>
      </c>
      <c r="B2339" t="str">
        <f>"54.0108"</f>
        <v>54.0108</v>
      </c>
      <c r="C2339" t="s">
        <v>8</v>
      </c>
      <c r="D2339" t="s">
        <v>12</v>
      </c>
      <c r="E2339" t="s">
        <v>5227</v>
      </c>
      <c r="F2339" t="s">
        <v>5228</v>
      </c>
      <c r="H2339" t="s">
        <v>5229</v>
      </c>
    </row>
    <row r="2340" spans="1:8" x14ac:dyDescent="0.55000000000000004">
      <c r="A2340" t="str">
        <f t="shared" si="77"/>
        <v>54</v>
      </c>
      <c r="B2340" t="str">
        <f>"54.0199"</f>
        <v>54.0199</v>
      </c>
      <c r="C2340" t="s">
        <v>8</v>
      </c>
      <c r="D2340" t="s">
        <v>12</v>
      </c>
      <c r="E2340" t="s">
        <v>5230</v>
      </c>
      <c r="F2340" t="s">
        <v>5231</v>
      </c>
      <c r="G2340" t="s">
        <v>5211</v>
      </c>
    </row>
    <row r="2341" spans="1:8" x14ac:dyDescent="0.55000000000000004">
      <c r="A2341" t="str">
        <f>"55"</f>
        <v>55</v>
      </c>
      <c r="B2341" t="str">
        <f>"55"</f>
        <v>55</v>
      </c>
      <c r="C2341" t="s">
        <v>47</v>
      </c>
      <c r="D2341" t="s">
        <v>12</v>
      </c>
      <c r="E2341" t="s">
        <v>1901</v>
      </c>
      <c r="F2341" t="s">
        <v>1902</v>
      </c>
    </row>
    <row r="2342" spans="1:8" x14ac:dyDescent="0.55000000000000004">
      <c r="A2342" t="str">
        <f t="shared" ref="A2342:A2357" si="78">"55"</f>
        <v>55</v>
      </c>
      <c r="B2342" t="str">
        <f>"55.01"</f>
        <v>55.01</v>
      </c>
      <c r="C2342" t="s">
        <v>47</v>
      </c>
      <c r="D2342" t="s">
        <v>12</v>
      </c>
      <c r="E2342" t="s">
        <v>82</v>
      </c>
      <c r="F2342" t="s">
        <v>5232</v>
      </c>
    </row>
    <row r="2343" spans="1:8" x14ac:dyDescent="0.55000000000000004">
      <c r="A2343" t="str">
        <f t="shared" si="78"/>
        <v>55</v>
      </c>
      <c r="B2343" t="str">
        <f>"55.0101"</f>
        <v>55.0101</v>
      </c>
      <c r="C2343" t="s">
        <v>47</v>
      </c>
      <c r="D2343" t="s">
        <v>12</v>
      </c>
      <c r="E2343" t="s">
        <v>82</v>
      </c>
      <c r="F2343" t="s">
        <v>83</v>
      </c>
    </row>
    <row r="2344" spans="1:8" x14ac:dyDescent="0.55000000000000004">
      <c r="A2344" t="str">
        <f t="shared" si="78"/>
        <v>55</v>
      </c>
      <c r="B2344" t="str">
        <f>"55.13"</f>
        <v>55.13</v>
      </c>
      <c r="C2344" t="s">
        <v>47</v>
      </c>
      <c r="D2344" t="s">
        <v>12</v>
      </c>
      <c r="E2344" t="s">
        <v>82</v>
      </c>
      <c r="F2344" t="s">
        <v>5233</v>
      </c>
    </row>
    <row r="2345" spans="1:8" x14ac:dyDescent="0.55000000000000004">
      <c r="A2345" t="str">
        <f t="shared" si="78"/>
        <v>55</v>
      </c>
      <c r="B2345" t="str">
        <f>"55.1301"</f>
        <v>55.1301</v>
      </c>
      <c r="C2345" t="s">
        <v>47</v>
      </c>
      <c r="D2345" t="s">
        <v>12</v>
      </c>
      <c r="E2345" t="s">
        <v>82</v>
      </c>
      <c r="F2345" t="s">
        <v>83</v>
      </c>
    </row>
    <row r="2346" spans="1:8" x14ac:dyDescent="0.55000000000000004">
      <c r="A2346" t="str">
        <f t="shared" si="78"/>
        <v>55</v>
      </c>
      <c r="B2346" t="str">
        <f>"55.1302"</f>
        <v>55.1302</v>
      </c>
      <c r="C2346" t="s">
        <v>47</v>
      </c>
      <c r="D2346" t="s">
        <v>12</v>
      </c>
      <c r="E2346" t="s">
        <v>82</v>
      </c>
      <c r="F2346" t="s">
        <v>83</v>
      </c>
    </row>
    <row r="2347" spans="1:8" x14ac:dyDescent="0.55000000000000004">
      <c r="A2347" t="str">
        <f t="shared" si="78"/>
        <v>55</v>
      </c>
      <c r="B2347" t="str">
        <f>"55.1303"</f>
        <v>55.1303</v>
      </c>
      <c r="C2347" t="s">
        <v>47</v>
      </c>
      <c r="D2347" t="s">
        <v>12</v>
      </c>
      <c r="E2347" t="s">
        <v>82</v>
      </c>
      <c r="F2347" t="s">
        <v>83</v>
      </c>
    </row>
    <row r="2348" spans="1:8" x14ac:dyDescent="0.55000000000000004">
      <c r="A2348" t="str">
        <f t="shared" si="78"/>
        <v>55</v>
      </c>
      <c r="B2348" t="str">
        <f>"55.1304"</f>
        <v>55.1304</v>
      </c>
      <c r="C2348" t="s">
        <v>47</v>
      </c>
      <c r="D2348" t="s">
        <v>12</v>
      </c>
      <c r="E2348" t="s">
        <v>82</v>
      </c>
      <c r="F2348" t="s">
        <v>83</v>
      </c>
    </row>
    <row r="2349" spans="1:8" x14ac:dyDescent="0.55000000000000004">
      <c r="A2349" t="str">
        <f t="shared" si="78"/>
        <v>55</v>
      </c>
      <c r="B2349" t="str">
        <f>"55.1399"</f>
        <v>55.1399</v>
      </c>
      <c r="C2349" t="s">
        <v>47</v>
      </c>
      <c r="D2349" t="s">
        <v>12</v>
      </c>
      <c r="E2349" t="s">
        <v>82</v>
      </c>
      <c r="F2349" t="s">
        <v>83</v>
      </c>
    </row>
    <row r="2350" spans="1:8" x14ac:dyDescent="0.55000000000000004">
      <c r="A2350" t="str">
        <f t="shared" si="78"/>
        <v>55</v>
      </c>
      <c r="B2350" t="str">
        <f>"55.14"</f>
        <v>55.14</v>
      </c>
      <c r="C2350" t="s">
        <v>47</v>
      </c>
      <c r="D2350" t="s">
        <v>12</v>
      </c>
      <c r="E2350" t="s">
        <v>82</v>
      </c>
      <c r="F2350" t="s">
        <v>5234</v>
      </c>
    </row>
    <row r="2351" spans="1:8" x14ac:dyDescent="0.55000000000000004">
      <c r="A2351" t="str">
        <f t="shared" si="78"/>
        <v>55</v>
      </c>
      <c r="B2351" t="str">
        <f>"55.1401"</f>
        <v>55.1401</v>
      </c>
      <c r="C2351" t="s">
        <v>47</v>
      </c>
      <c r="D2351" t="s">
        <v>12</v>
      </c>
      <c r="E2351" t="s">
        <v>82</v>
      </c>
      <c r="F2351" t="s">
        <v>83</v>
      </c>
    </row>
    <row r="2352" spans="1:8" x14ac:dyDescent="0.55000000000000004">
      <c r="A2352" t="str">
        <f t="shared" si="78"/>
        <v>55</v>
      </c>
      <c r="B2352" t="str">
        <f>"55.1403"</f>
        <v>55.1403</v>
      </c>
      <c r="C2352" t="s">
        <v>47</v>
      </c>
      <c r="D2352" t="s">
        <v>12</v>
      </c>
      <c r="E2352" t="s">
        <v>82</v>
      </c>
      <c r="F2352" t="s">
        <v>83</v>
      </c>
    </row>
    <row r="2353" spans="1:8" x14ac:dyDescent="0.55000000000000004">
      <c r="A2353" t="str">
        <f t="shared" si="78"/>
        <v>55</v>
      </c>
      <c r="B2353" t="str">
        <f>"55.1404"</f>
        <v>55.1404</v>
      </c>
      <c r="C2353" t="s">
        <v>47</v>
      </c>
      <c r="D2353" t="s">
        <v>12</v>
      </c>
      <c r="E2353" t="s">
        <v>82</v>
      </c>
      <c r="F2353" t="s">
        <v>83</v>
      </c>
    </row>
    <row r="2354" spans="1:8" x14ac:dyDescent="0.55000000000000004">
      <c r="A2354" t="str">
        <f t="shared" si="78"/>
        <v>55</v>
      </c>
      <c r="B2354" t="str">
        <f>"55.1405"</f>
        <v>55.1405</v>
      </c>
      <c r="C2354" t="s">
        <v>47</v>
      </c>
      <c r="D2354" t="s">
        <v>12</v>
      </c>
      <c r="E2354" t="s">
        <v>82</v>
      </c>
      <c r="F2354" t="s">
        <v>83</v>
      </c>
    </row>
    <row r="2355" spans="1:8" x14ac:dyDescent="0.55000000000000004">
      <c r="A2355" t="str">
        <f t="shared" si="78"/>
        <v>55</v>
      </c>
      <c r="B2355" t="str">
        <f>"55.1499"</f>
        <v>55.1499</v>
      </c>
      <c r="C2355" t="s">
        <v>47</v>
      </c>
      <c r="D2355" t="s">
        <v>12</v>
      </c>
      <c r="E2355" t="s">
        <v>82</v>
      </c>
      <c r="F2355" t="s">
        <v>83</v>
      </c>
    </row>
    <row r="2356" spans="1:8" x14ac:dyDescent="0.55000000000000004">
      <c r="A2356" t="str">
        <f t="shared" si="78"/>
        <v>55</v>
      </c>
      <c r="B2356" t="str">
        <f>"55.99"</f>
        <v>55.99</v>
      </c>
      <c r="C2356" t="s">
        <v>47</v>
      </c>
      <c r="D2356" t="s">
        <v>12</v>
      </c>
      <c r="E2356" t="s">
        <v>82</v>
      </c>
      <c r="F2356" t="s">
        <v>5235</v>
      </c>
    </row>
    <row r="2357" spans="1:8" x14ac:dyDescent="0.55000000000000004">
      <c r="A2357" t="str">
        <f t="shared" si="78"/>
        <v>55</v>
      </c>
      <c r="B2357" t="str">
        <f>"55.9999"</f>
        <v>55.9999</v>
      </c>
      <c r="C2357" t="s">
        <v>47</v>
      </c>
      <c r="D2357" t="s">
        <v>12</v>
      </c>
      <c r="E2357" t="s">
        <v>82</v>
      </c>
      <c r="F2357" t="s">
        <v>83</v>
      </c>
    </row>
    <row r="2358" spans="1:8" x14ac:dyDescent="0.55000000000000004">
      <c r="A2358" t="str">
        <f>"60"</f>
        <v>60</v>
      </c>
      <c r="B2358" t="str">
        <f>"60"</f>
        <v>60</v>
      </c>
      <c r="C2358" t="s">
        <v>8</v>
      </c>
      <c r="D2358" t="s">
        <v>9</v>
      </c>
      <c r="E2358" t="s">
        <v>5236</v>
      </c>
      <c r="F2358" t="s">
        <v>5237</v>
      </c>
    </row>
    <row r="2359" spans="1:8" x14ac:dyDescent="0.55000000000000004">
      <c r="A2359" t="str">
        <f t="shared" ref="A2359:A2422" si="79">"60"</f>
        <v>60</v>
      </c>
      <c r="B2359" t="str">
        <f>"60.01"</f>
        <v>60.01</v>
      </c>
      <c r="C2359" t="s">
        <v>8</v>
      </c>
      <c r="D2359" t="s">
        <v>9</v>
      </c>
      <c r="E2359" t="s">
        <v>5238</v>
      </c>
      <c r="F2359" t="s">
        <v>5239</v>
      </c>
    </row>
    <row r="2360" spans="1:8" x14ac:dyDescent="0.55000000000000004">
      <c r="A2360" t="str">
        <f t="shared" si="79"/>
        <v>60</v>
      </c>
      <c r="B2360" t="str">
        <f>"60.0101"</f>
        <v>60.0101</v>
      </c>
      <c r="C2360" t="s">
        <v>8</v>
      </c>
      <c r="D2360" t="s">
        <v>12</v>
      </c>
      <c r="E2360" t="s">
        <v>5240</v>
      </c>
      <c r="F2360" t="s">
        <v>5241</v>
      </c>
      <c r="H2360" t="s">
        <v>5242</v>
      </c>
    </row>
    <row r="2361" spans="1:8" x14ac:dyDescent="0.55000000000000004">
      <c r="A2361" t="str">
        <f t="shared" si="79"/>
        <v>60</v>
      </c>
      <c r="B2361" t="str">
        <f>"60.0102"</f>
        <v>60.0102</v>
      </c>
      <c r="C2361" t="s">
        <v>8</v>
      </c>
      <c r="D2361" t="s">
        <v>12</v>
      </c>
      <c r="E2361" t="s">
        <v>5243</v>
      </c>
      <c r="F2361" t="s">
        <v>5244</v>
      </c>
    </row>
    <row r="2362" spans="1:8" x14ac:dyDescent="0.55000000000000004">
      <c r="A2362" t="str">
        <f t="shared" si="79"/>
        <v>60</v>
      </c>
      <c r="B2362" t="str">
        <f>"60.0103"</f>
        <v>60.0103</v>
      </c>
      <c r="C2362" t="s">
        <v>8</v>
      </c>
      <c r="D2362" t="s">
        <v>12</v>
      </c>
      <c r="E2362" t="s">
        <v>5245</v>
      </c>
      <c r="F2362" t="s">
        <v>5246</v>
      </c>
    </row>
    <row r="2363" spans="1:8" x14ac:dyDescent="0.55000000000000004">
      <c r="A2363" t="str">
        <f t="shared" si="79"/>
        <v>60</v>
      </c>
      <c r="B2363" t="str">
        <f>"60.0104"</f>
        <v>60.0104</v>
      </c>
      <c r="C2363" t="s">
        <v>8</v>
      </c>
      <c r="D2363" t="s">
        <v>12</v>
      </c>
      <c r="E2363" t="s">
        <v>5247</v>
      </c>
      <c r="F2363" t="s">
        <v>5248</v>
      </c>
      <c r="H2363" t="s">
        <v>5249</v>
      </c>
    </row>
    <row r="2364" spans="1:8" x14ac:dyDescent="0.55000000000000004">
      <c r="A2364" t="str">
        <f t="shared" si="79"/>
        <v>60</v>
      </c>
      <c r="B2364" t="str">
        <f>"60.0105"</f>
        <v>60.0105</v>
      </c>
      <c r="C2364" t="s">
        <v>8</v>
      </c>
      <c r="D2364" t="s">
        <v>12</v>
      </c>
      <c r="E2364" t="s">
        <v>5250</v>
      </c>
      <c r="F2364" t="s">
        <v>5251</v>
      </c>
    </row>
    <row r="2365" spans="1:8" x14ac:dyDescent="0.55000000000000004">
      <c r="A2365" t="str">
        <f t="shared" si="79"/>
        <v>60</v>
      </c>
      <c r="B2365" t="str">
        <f>"60.0106"</f>
        <v>60.0106</v>
      </c>
      <c r="C2365" t="s">
        <v>8</v>
      </c>
      <c r="D2365" t="s">
        <v>12</v>
      </c>
      <c r="E2365" t="s">
        <v>5252</v>
      </c>
      <c r="F2365" t="s">
        <v>5253</v>
      </c>
      <c r="H2365" t="s">
        <v>5254</v>
      </c>
    </row>
    <row r="2366" spans="1:8" x14ac:dyDescent="0.55000000000000004">
      <c r="A2366" t="str">
        <f t="shared" si="79"/>
        <v>60</v>
      </c>
      <c r="B2366" t="str">
        <f>"60.0107"</f>
        <v>60.0107</v>
      </c>
      <c r="C2366" t="s">
        <v>8</v>
      </c>
      <c r="D2366" t="s">
        <v>12</v>
      </c>
      <c r="E2366" t="s">
        <v>5255</v>
      </c>
      <c r="F2366" t="s">
        <v>5256</v>
      </c>
      <c r="H2366" t="s">
        <v>5257</v>
      </c>
    </row>
    <row r="2367" spans="1:8" x14ac:dyDescent="0.55000000000000004">
      <c r="A2367" t="str">
        <f t="shared" si="79"/>
        <v>60</v>
      </c>
      <c r="B2367" t="str">
        <f>"60.0108"</f>
        <v>60.0108</v>
      </c>
      <c r="C2367" t="s">
        <v>8</v>
      </c>
      <c r="D2367" t="s">
        <v>12</v>
      </c>
      <c r="E2367" t="s">
        <v>5258</v>
      </c>
      <c r="F2367" t="s">
        <v>5259</v>
      </c>
    </row>
    <row r="2368" spans="1:8" x14ac:dyDescent="0.55000000000000004">
      <c r="A2368" t="str">
        <f t="shared" si="79"/>
        <v>60</v>
      </c>
      <c r="B2368" t="str">
        <f>"60.0109"</f>
        <v>60.0109</v>
      </c>
      <c r="C2368" t="s">
        <v>8</v>
      </c>
      <c r="D2368" t="s">
        <v>12</v>
      </c>
      <c r="E2368" t="s">
        <v>5260</v>
      </c>
      <c r="F2368" t="s">
        <v>5261</v>
      </c>
    </row>
    <row r="2369" spans="1:6" x14ac:dyDescent="0.55000000000000004">
      <c r="A2369" t="str">
        <f t="shared" si="79"/>
        <v>60</v>
      </c>
      <c r="B2369" t="str">
        <f>"60.0110"</f>
        <v>60.0110</v>
      </c>
      <c r="C2369" t="s">
        <v>47</v>
      </c>
      <c r="D2369" t="s">
        <v>12</v>
      </c>
      <c r="E2369" t="s">
        <v>5262</v>
      </c>
      <c r="F2369" t="s">
        <v>5263</v>
      </c>
    </row>
    <row r="2370" spans="1:6" x14ac:dyDescent="0.55000000000000004">
      <c r="A2370" t="str">
        <f t="shared" si="79"/>
        <v>60</v>
      </c>
      <c r="B2370" t="str">
        <f>"60.0199"</f>
        <v>60.0199</v>
      </c>
      <c r="C2370" t="s">
        <v>8</v>
      </c>
      <c r="D2370" t="s">
        <v>9</v>
      </c>
      <c r="E2370" t="s">
        <v>5264</v>
      </c>
      <c r="F2370" t="s">
        <v>5265</v>
      </c>
    </row>
    <row r="2371" spans="1:6" x14ac:dyDescent="0.55000000000000004">
      <c r="A2371" t="str">
        <f t="shared" si="79"/>
        <v>60</v>
      </c>
      <c r="B2371" t="str">
        <f>"60.03"</f>
        <v>60.03</v>
      </c>
      <c r="C2371" t="s">
        <v>8</v>
      </c>
      <c r="D2371" t="s">
        <v>9</v>
      </c>
      <c r="E2371" t="s">
        <v>5266</v>
      </c>
      <c r="F2371" t="s">
        <v>5267</v>
      </c>
    </row>
    <row r="2372" spans="1:6" x14ac:dyDescent="0.55000000000000004">
      <c r="A2372" t="str">
        <f t="shared" si="79"/>
        <v>60</v>
      </c>
      <c r="B2372" t="str">
        <f>"60.0301"</f>
        <v>60.0301</v>
      </c>
      <c r="C2372" t="s">
        <v>8</v>
      </c>
      <c r="D2372" t="s">
        <v>12</v>
      </c>
      <c r="E2372" t="s">
        <v>5268</v>
      </c>
      <c r="F2372" t="s">
        <v>5269</v>
      </c>
    </row>
    <row r="2373" spans="1:6" x14ac:dyDescent="0.55000000000000004">
      <c r="A2373" t="str">
        <f t="shared" si="79"/>
        <v>60</v>
      </c>
      <c r="B2373" t="str">
        <f>"60.0302"</f>
        <v>60.0302</v>
      </c>
      <c r="C2373" t="s">
        <v>8</v>
      </c>
      <c r="D2373" t="s">
        <v>12</v>
      </c>
      <c r="E2373" t="s">
        <v>5270</v>
      </c>
      <c r="F2373" t="s">
        <v>5271</v>
      </c>
    </row>
    <row r="2374" spans="1:6" x14ac:dyDescent="0.55000000000000004">
      <c r="A2374" t="str">
        <f t="shared" si="79"/>
        <v>60</v>
      </c>
      <c r="B2374" t="str">
        <f>"60.0303"</f>
        <v>60.0303</v>
      </c>
      <c r="C2374" t="s">
        <v>8</v>
      </c>
      <c r="D2374" t="s">
        <v>12</v>
      </c>
      <c r="E2374" t="s">
        <v>5272</v>
      </c>
      <c r="F2374" t="s">
        <v>5273</v>
      </c>
    </row>
    <row r="2375" spans="1:6" x14ac:dyDescent="0.55000000000000004">
      <c r="A2375" t="str">
        <f t="shared" si="79"/>
        <v>60</v>
      </c>
      <c r="B2375" t="str">
        <f>"60.0304"</f>
        <v>60.0304</v>
      </c>
      <c r="C2375" t="s">
        <v>8</v>
      </c>
      <c r="D2375" t="s">
        <v>12</v>
      </c>
      <c r="E2375" t="s">
        <v>5274</v>
      </c>
      <c r="F2375" t="s">
        <v>5275</v>
      </c>
    </row>
    <row r="2376" spans="1:6" x14ac:dyDescent="0.55000000000000004">
      <c r="A2376" t="str">
        <f t="shared" si="79"/>
        <v>60</v>
      </c>
      <c r="B2376" t="str">
        <f>"60.0305"</f>
        <v>60.0305</v>
      </c>
      <c r="C2376" t="s">
        <v>8</v>
      </c>
      <c r="D2376" t="s">
        <v>12</v>
      </c>
      <c r="E2376" t="s">
        <v>5276</v>
      </c>
      <c r="F2376" t="s">
        <v>5277</v>
      </c>
    </row>
    <row r="2377" spans="1:6" x14ac:dyDescent="0.55000000000000004">
      <c r="A2377" t="str">
        <f t="shared" si="79"/>
        <v>60</v>
      </c>
      <c r="B2377" t="str">
        <f>"60.0306"</f>
        <v>60.0306</v>
      </c>
      <c r="C2377" t="s">
        <v>8</v>
      </c>
      <c r="D2377" t="s">
        <v>12</v>
      </c>
      <c r="E2377" t="s">
        <v>5278</v>
      </c>
      <c r="F2377" t="s">
        <v>5279</v>
      </c>
    </row>
    <row r="2378" spans="1:6" x14ac:dyDescent="0.55000000000000004">
      <c r="A2378" t="str">
        <f t="shared" si="79"/>
        <v>60</v>
      </c>
      <c r="B2378" t="str">
        <f>"60.0307"</f>
        <v>60.0307</v>
      </c>
      <c r="C2378" t="s">
        <v>8</v>
      </c>
      <c r="D2378" t="s">
        <v>12</v>
      </c>
      <c r="E2378" t="s">
        <v>5280</v>
      </c>
      <c r="F2378" t="s">
        <v>5281</v>
      </c>
    </row>
    <row r="2379" spans="1:6" x14ac:dyDescent="0.55000000000000004">
      <c r="A2379" t="str">
        <f t="shared" si="79"/>
        <v>60</v>
      </c>
      <c r="B2379" t="str">
        <f>"60.0308"</f>
        <v>60.0308</v>
      </c>
      <c r="C2379" t="s">
        <v>8</v>
      </c>
      <c r="D2379" t="s">
        <v>12</v>
      </c>
      <c r="E2379" t="s">
        <v>5282</v>
      </c>
      <c r="F2379" t="s">
        <v>5283</v>
      </c>
    </row>
    <row r="2380" spans="1:6" x14ac:dyDescent="0.55000000000000004">
      <c r="A2380" t="str">
        <f t="shared" si="79"/>
        <v>60</v>
      </c>
      <c r="B2380" t="str">
        <f>"60.0309"</f>
        <v>60.0309</v>
      </c>
      <c r="C2380" t="s">
        <v>8</v>
      </c>
      <c r="D2380" t="s">
        <v>12</v>
      </c>
      <c r="E2380" t="s">
        <v>5284</v>
      </c>
      <c r="F2380" t="s">
        <v>5285</v>
      </c>
    </row>
    <row r="2381" spans="1:6" x14ac:dyDescent="0.55000000000000004">
      <c r="A2381" t="str">
        <f t="shared" si="79"/>
        <v>60</v>
      </c>
      <c r="B2381" t="str">
        <f>"60.0310"</f>
        <v>60.0310</v>
      </c>
      <c r="C2381" t="s">
        <v>8</v>
      </c>
      <c r="D2381" t="s">
        <v>12</v>
      </c>
      <c r="E2381" t="s">
        <v>5286</v>
      </c>
      <c r="F2381" t="s">
        <v>5287</v>
      </c>
    </row>
    <row r="2382" spans="1:6" x14ac:dyDescent="0.55000000000000004">
      <c r="A2382" t="str">
        <f t="shared" si="79"/>
        <v>60</v>
      </c>
      <c r="B2382" t="str">
        <f>"60.0311"</f>
        <v>60.0311</v>
      </c>
      <c r="C2382" t="s">
        <v>8</v>
      </c>
      <c r="D2382" t="s">
        <v>12</v>
      </c>
      <c r="E2382" t="s">
        <v>5288</v>
      </c>
      <c r="F2382" t="s">
        <v>5289</v>
      </c>
    </row>
    <row r="2383" spans="1:6" x14ac:dyDescent="0.55000000000000004">
      <c r="A2383" t="str">
        <f t="shared" si="79"/>
        <v>60</v>
      </c>
      <c r="B2383" t="str">
        <f>"60.0312"</f>
        <v>60.0312</v>
      </c>
      <c r="C2383" t="s">
        <v>8</v>
      </c>
      <c r="D2383" t="s">
        <v>12</v>
      </c>
      <c r="E2383" t="s">
        <v>5290</v>
      </c>
      <c r="F2383" t="s">
        <v>5291</v>
      </c>
    </row>
    <row r="2384" spans="1:6" x14ac:dyDescent="0.55000000000000004">
      <c r="A2384" t="str">
        <f t="shared" si="79"/>
        <v>60</v>
      </c>
      <c r="B2384" t="str">
        <f>"60.0313"</f>
        <v>60.0313</v>
      </c>
      <c r="C2384" t="s">
        <v>8</v>
      </c>
      <c r="D2384" t="s">
        <v>12</v>
      </c>
      <c r="E2384" t="s">
        <v>5292</v>
      </c>
      <c r="F2384" t="s">
        <v>5293</v>
      </c>
    </row>
    <row r="2385" spans="1:6" x14ac:dyDescent="0.55000000000000004">
      <c r="A2385" t="str">
        <f t="shared" si="79"/>
        <v>60</v>
      </c>
      <c r="B2385" t="str">
        <f>"60.0314"</f>
        <v>60.0314</v>
      </c>
      <c r="C2385" t="s">
        <v>8</v>
      </c>
      <c r="D2385" t="s">
        <v>12</v>
      </c>
      <c r="E2385" t="s">
        <v>5294</v>
      </c>
      <c r="F2385" t="s">
        <v>5295</v>
      </c>
    </row>
    <row r="2386" spans="1:6" x14ac:dyDescent="0.55000000000000004">
      <c r="A2386" t="str">
        <f t="shared" si="79"/>
        <v>60</v>
      </c>
      <c r="B2386" t="str">
        <f>"60.0315"</f>
        <v>60.0315</v>
      </c>
      <c r="C2386" t="s">
        <v>8</v>
      </c>
      <c r="D2386" t="s">
        <v>12</v>
      </c>
      <c r="E2386" t="s">
        <v>5296</v>
      </c>
      <c r="F2386" t="s">
        <v>5297</v>
      </c>
    </row>
    <row r="2387" spans="1:6" x14ac:dyDescent="0.55000000000000004">
      <c r="A2387" t="str">
        <f t="shared" si="79"/>
        <v>60</v>
      </c>
      <c r="B2387" t="str">
        <f>"60.0316"</f>
        <v>60.0316</v>
      </c>
      <c r="C2387" t="s">
        <v>8</v>
      </c>
      <c r="D2387" t="s">
        <v>12</v>
      </c>
      <c r="E2387" t="s">
        <v>5298</v>
      </c>
      <c r="F2387" t="s">
        <v>5299</v>
      </c>
    </row>
    <row r="2388" spans="1:6" x14ac:dyDescent="0.55000000000000004">
      <c r="A2388" t="str">
        <f t="shared" si="79"/>
        <v>60</v>
      </c>
      <c r="B2388" t="str">
        <f>"60.0317"</f>
        <v>60.0317</v>
      </c>
      <c r="C2388" t="s">
        <v>8</v>
      </c>
      <c r="D2388" t="s">
        <v>12</v>
      </c>
      <c r="E2388" t="s">
        <v>5300</v>
      </c>
      <c r="F2388" t="s">
        <v>5301</v>
      </c>
    </row>
    <row r="2389" spans="1:6" x14ac:dyDescent="0.55000000000000004">
      <c r="A2389" t="str">
        <f t="shared" si="79"/>
        <v>60</v>
      </c>
      <c r="B2389" t="str">
        <f>"60.0318"</f>
        <v>60.0318</v>
      </c>
      <c r="C2389" t="s">
        <v>8</v>
      </c>
      <c r="D2389" t="s">
        <v>12</v>
      </c>
      <c r="E2389" t="s">
        <v>5302</v>
      </c>
      <c r="F2389" t="s">
        <v>5303</v>
      </c>
    </row>
    <row r="2390" spans="1:6" x14ac:dyDescent="0.55000000000000004">
      <c r="A2390" t="str">
        <f t="shared" si="79"/>
        <v>60</v>
      </c>
      <c r="B2390" t="str">
        <f>"60.0319"</f>
        <v>60.0319</v>
      </c>
      <c r="C2390" t="s">
        <v>8</v>
      </c>
      <c r="D2390" t="s">
        <v>12</v>
      </c>
      <c r="E2390" t="s">
        <v>5304</v>
      </c>
      <c r="F2390" t="s">
        <v>5305</v>
      </c>
    </row>
    <row r="2391" spans="1:6" x14ac:dyDescent="0.55000000000000004">
      <c r="A2391" t="str">
        <f t="shared" si="79"/>
        <v>60</v>
      </c>
      <c r="B2391" t="str">
        <f>"60.0320"</f>
        <v>60.0320</v>
      </c>
      <c r="C2391" t="s">
        <v>8</v>
      </c>
      <c r="D2391" t="s">
        <v>12</v>
      </c>
      <c r="E2391" t="s">
        <v>5306</v>
      </c>
      <c r="F2391" t="s">
        <v>5307</v>
      </c>
    </row>
    <row r="2392" spans="1:6" x14ac:dyDescent="0.55000000000000004">
      <c r="A2392" t="str">
        <f t="shared" si="79"/>
        <v>60</v>
      </c>
      <c r="B2392" t="str">
        <f>"60.0399"</f>
        <v>60.0399</v>
      </c>
      <c r="C2392" t="s">
        <v>8</v>
      </c>
      <c r="D2392" t="s">
        <v>9</v>
      </c>
      <c r="E2392" t="s">
        <v>5308</v>
      </c>
      <c r="F2392" t="s">
        <v>5309</v>
      </c>
    </row>
    <row r="2393" spans="1:6" x14ac:dyDescent="0.55000000000000004">
      <c r="A2393" t="str">
        <f t="shared" si="79"/>
        <v>60</v>
      </c>
      <c r="B2393" t="str">
        <f>"60.04"</f>
        <v>60.04</v>
      </c>
      <c r="C2393" t="s">
        <v>3647</v>
      </c>
      <c r="D2393" t="s">
        <v>12</v>
      </c>
      <c r="E2393" t="s">
        <v>5310</v>
      </c>
      <c r="F2393" t="s">
        <v>5311</v>
      </c>
    </row>
    <row r="2394" spans="1:6" x14ac:dyDescent="0.55000000000000004">
      <c r="A2394" t="str">
        <f t="shared" si="79"/>
        <v>60</v>
      </c>
      <c r="B2394" t="str">
        <f>"60.0401"</f>
        <v>60.0401</v>
      </c>
      <c r="C2394" t="s">
        <v>70</v>
      </c>
      <c r="D2394" t="s">
        <v>12</v>
      </c>
      <c r="E2394" t="s">
        <v>5312</v>
      </c>
      <c r="F2394" t="s">
        <v>5313</v>
      </c>
    </row>
    <row r="2395" spans="1:6" x14ac:dyDescent="0.55000000000000004">
      <c r="A2395" t="str">
        <f t="shared" si="79"/>
        <v>60</v>
      </c>
      <c r="B2395" t="str">
        <f>"60.0402"</f>
        <v>60.0402</v>
      </c>
      <c r="C2395" t="s">
        <v>70</v>
      </c>
      <c r="D2395" t="s">
        <v>12</v>
      </c>
      <c r="E2395" t="s">
        <v>5314</v>
      </c>
      <c r="F2395" t="s">
        <v>5315</v>
      </c>
    </row>
    <row r="2396" spans="1:6" x14ac:dyDescent="0.55000000000000004">
      <c r="A2396" t="str">
        <f t="shared" si="79"/>
        <v>60</v>
      </c>
      <c r="B2396" t="str">
        <f>"60.0403"</f>
        <v>60.0403</v>
      </c>
      <c r="C2396" t="s">
        <v>70</v>
      </c>
      <c r="D2396" t="s">
        <v>12</v>
      </c>
      <c r="E2396" t="s">
        <v>5316</v>
      </c>
      <c r="F2396" t="s">
        <v>5317</v>
      </c>
    </row>
    <row r="2397" spans="1:6" x14ac:dyDescent="0.55000000000000004">
      <c r="A2397" t="str">
        <f t="shared" si="79"/>
        <v>60</v>
      </c>
      <c r="B2397" t="str">
        <f>"60.0404"</f>
        <v>60.0404</v>
      </c>
      <c r="C2397" t="s">
        <v>70</v>
      </c>
      <c r="D2397" t="s">
        <v>12</v>
      </c>
      <c r="E2397" t="s">
        <v>5318</v>
      </c>
      <c r="F2397" t="s">
        <v>5319</v>
      </c>
    </row>
    <row r="2398" spans="1:6" x14ac:dyDescent="0.55000000000000004">
      <c r="A2398" t="str">
        <f t="shared" si="79"/>
        <v>60</v>
      </c>
      <c r="B2398" t="str">
        <f>"60.0405"</f>
        <v>60.0405</v>
      </c>
      <c r="C2398" t="s">
        <v>70</v>
      </c>
      <c r="D2398" t="s">
        <v>12</v>
      </c>
      <c r="E2398" t="s">
        <v>5320</v>
      </c>
      <c r="F2398" t="s">
        <v>5321</v>
      </c>
    </row>
    <row r="2399" spans="1:6" x14ac:dyDescent="0.55000000000000004">
      <c r="A2399" t="str">
        <f t="shared" si="79"/>
        <v>60</v>
      </c>
      <c r="B2399" t="str">
        <f>"60.0406"</f>
        <v>60.0406</v>
      </c>
      <c r="C2399" t="s">
        <v>3647</v>
      </c>
      <c r="D2399" t="s">
        <v>12</v>
      </c>
      <c r="E2399" t="s">
        <v>5322</v>
      </c>
      <c r="F2399" t="s">
        <v>5323</v>
      </c>
    </row>
    <row r="2400" spans="1:6" x14ac:dyDescent="0.55000000000000004">
      <c r="A2400" t="str">
        <f t="shared" si="79"/>
        <v>60</v>
      </c>
      <c r="B2400" t="str">
        <f>"60.0407"</f>
        <v>60.0407</v>
      </c>
      <c r="C2400" t="s">
        <v>70</v>
      </c>
      <c r="D2400" t="s">
        <v>12</v>
      </c>
      <c r="E2400" t="s">
        <v>5324</v>
      </c>
      <c r="F2400" t="s">
        <v>5325</v>
      </c>
    </row>
    <row r="2401" spans="1:6" x14ac:dyDescent="0.55000000000000004">
      <c r="A2401" t="str">
        <f t="shared" si="79"/>
        <v>60</v>
      </c>
      <c r="B2401" t="str">
        <f>"60.0408"</f>
        <v>60.0408</v>
      </c>
      <c r="C2401" t="s">
        <v>3647</v>
      </c>
      <c r="D2401" t="s">
        <v>12</v>
      </c>
      <c r="E2401" t="s">
        <v>5326</v>
      </c>
      <c r="F2401" t="s">
        <v>5323</v>
      </c>
    </row>
    <row r="2402" spans="1:6" x14ac:dyDescent="0.55000000000000004">
      <c r="A2402" t="str">
        <f t="shared" si="79"/>
        <v>60</v>
      </c>
      <c r="B2402" t="str">
        <f>"60.0409"</f>
        <v>60.0409</v>
      </c>
      <c r="C2402" t="s">
        <v>70</v>
      </c>
      <c r="D2402" t="s">
        <v>12</v>
      </c>
      <c r="E2402" t="s">
        <v>5327</v>
      </c>
      <c r="F2402" t="s">
        <v>5328</v>
      </c>
    </row>
    <row r="2403" spans="1:6" x14ac:dyDescent="0.55000000000000004">
      <c r="A2403" t="str">
        <f t="shared" si="79"/>
        <v>60</v>
      </c>
      <c r="B2403" t="str">
        <f>"60.0410"</f>
        <v>60.0410</v>
      </c>
      <c r="C2403" t="s">
        <v>70</v>
      </c>
      <c r="D2403" t="s">
        <v>12</v>
      </c>
      <c r="E2403" t="s">
        <v>5329</v>
      </c>
      <c r="F2403" t="s">
        <v>5330</v>
      </c>
    </row>
    <row r="2404" spans="1:6" x14ac:dyDescent="0.55000000000000004">
      <c r="A2404" t="str">
        <f t="shared" si="79"/>
        <v>60</v>
      </c>
      <c r="B2404" t="str">
        <f>"60.0411"</f>
        <v>60.0411</v>
      </c>
      <c r="C2404" t="s">
        <v>70</v>
      </c>
      <c r="D2404" t="s">
        <v>12</v>
      </c>
      <c r="E2404" t="s">
        <v>5331</v>
      </c>
      <c r="F2404" t="s">
        <v>5332</v>
      </c>
    </row>
    <row r="2405" spans="1:6" x14ac:dyDescent="0.55000000000000004">
      <c r="A2405" t="str">
        <f t="shared" si="79"/>
        <v>60</v>
      </c>
      <c r="B2405" t="str">
        <f>"60.0412"</f>
        <v>60.0412</v>
      </c>
      <c r="C2405" t="s">
        <v>70</v>
      </c>
      <c r="D2405" t="s">
        <v>12</v>
      </c>
      <c r="E2405" t="s">
        <v>5333</v>
      </c>
      <c r="F2405" t="s">
        <v>5334</v>
      </c>
    </row>
    <row r="2406" spans="1:6" x14ac:dyDescent="0.55000000000000004">
      <c r="A2406" t="str">
        <f t="shared" si="79"/>
        <v>60</v>
      </c>
      <c r="B2406" t="str">
        <f>"60.0413"</f>
        <v>60.0413</v>
      </c>
      <c r="C2406" t="s">
        <v>70</v>
      </c>
      <c r="D2406" t="s">
        <v>12</v>
      </c>
      <c r="E2406" t="s">
        <v>5335</v>
      </c>
      <c r="F2406" t="s">
        <v>5336</v>
      </c>
    </row>
    <row r="2407" spans="1:6" x14ac:dyDescent="0.55000000000000004">
      <c r="A2407" t="str">
        <f t="shared" si="79"/>
        <v>60</v>
      </c>
      <c r="B2407" t="str">
        <f>"60.0414"</f>
        <v>60.0414</v>
      </c>
      <c r="C2407" t="s">
        <v>70</v>
      </c>
      <c r="D2407" t="s">
        <v>12</v>
      </c>
      <c r="E2407" t="s">
        <v>5337</v>
      </c>
      <c r="F2407" t="s">
        <v>5338</v>
      </c>
    </row>
    <row r="2408" spans="1:6" x14ac:dyDescent="0.55000000000000004">
      <c r="A2408" t="str">
        <f t="shared" si="79"/>
        <v>60</v>
      </c>
      <c r="B2408" t="str">
        <f>"60.0415"</f>
        <v>60.0415</v>
      </c>
      <c r="C2408" t="s">
        <v>70</v>
      </c>
      <c r="D2408" t="s">
        <v>12</v>
      </c>
      <c r="E2408" t="s">
        <v>5339</v>
      </c>
      <c r="F2408" t="s">
        <v>5340</v>
      </c>
    </row>
    <row r="2409" spans="1:6" x14ac:dyDescent="0.55000000000000004">
      <c r="A2409" t="str">
        <f t="shared" si="79"/>
        <v>60</v>
      </c>
      <c r="B2409" t="str">
        <f>"60.0416"</f>
        <v>60.0416</v>
      </c>
      <c r="C2409" t="s">
        <v>70</v>
      </c>
      <c r="D2409" t="s">
        <v>12</v>
      </c>
      <c r="E2409" t="s">
        <v>5341</v>
      </c>
      <c r="F2409" t="s">
        <v>5342</v>
      </c>
    </row>
    <row r="2410" spans="1:6" x14ac:dyDescent="0.55000000000000004">
      <c r="A2410" t="str">
        <f t="shared" si="79"/>
        <v>60</v>
      </c>
      <c r="B2410" t="str">
        <f>"60.0417"</f>
        <v>60.0417</v>
      </c>
      <c r="C2410" t="s">
        <v>70</v>
      </c>
      <c r="D2410" t="s">
        <v>12</v>
      </c>
      <c r="E2410" t="s">
        <v>5343</v>
      </c>
      <c r="F2410" t="s">
        <v>5344</v>
      </c>
    </row>
    <row r="2411" spans="1:6" x14ac:dyDescent="0.55000000000000004">
      <c r="A2411" t="str">
        <f t="shared" si="79"/>
        <v>60</v>
      </c>
      <c r="B2411" t="str">
        <f>"60.0418"</f>
        <v>60.0418</v>
      </c>
      <c r="C2411" t="s">
        <v>70</v>
      </c>
      <c r="D2411" t="s">
        <v>12</v>
      </c>
      <c r="E2411" t="s">
        <v>5345</v>
      </c>
      <c r="F2411" t="s">
        <v>5346</v>
      </c>
    </row>
    <row r="2412" spans="1:6" x14ac:dyDescent="0.55000000000000004">
      <c r="A2412" t="str">
        <f t="shared" si="79"/>
        <v>60</v>
      </c>
      <c r="B2412" t="str">
        <f>"60.0419"</f>
        <v>60.0419</v>
      </c>
      <c r="C2412" t="s">
        <v>70</v>
      </c>
      <c r="D2412" t="s">
        <v>12</v>
      </c>
      <c r="E2412" t="s">
        <v>5347</v>
      </c>
      <c r="F2412" t="s">
        <v>5348</v>
      </c>
    </row>
    <row r="2413" spans="1:6" x14ac:dyDescent="0.55000000000000004">
      <c r="A2413" t="str">
        <f t="shared" si="79"/>
        <v>60</v>
      </c>
      <c r="B2413" t="str">
        <f>"60.0420"</f>
        <v>60.0420</v>
      </c>
      <c r="C2413" t="s">
        <v>70</v>
      </c>
      <c r="D2413" t="s">
        <v>12</v>
      </c>
      <c r="E2413" t="s">
        <v>5349</v>
      </c>
      <c r="F2413" t="s">
        <v>5350</v>
      </c>
    </row>
    <row r="2414" spans="1:6" x14ac:dyDescent="0.55000000000000004">
      <c r="A2414" t="str">
        <f t="shared" si="79"/>
        <v>60</v>
      </c>
      <c r="B2414" t="str">
        <f>"60.0421"</f>
        <v>60.0421</v>
      </c>
      <c r="C2414" t="s">
        <v>70</v>
      </c>
      <c r="D2414" t="s">
        <v>12</v>
      </c>
      <c r="E2414" t="s">
        <v>5351</v>
      </c>
      <c r="F2414" t="s">
        <v>5352</v>
      </c>
    </row>
    <row r="2415" spans="1:6" x14ac:dyDescent="0.55000000000000004">
      <c r="A2415" t="str">
        <f t="shared" si="79"/>
        <v>60</v>
      </c>
      <c r="B2415" t="str">
        <f>"60.0422"</f>
        <v>60.0422</v>
      </c>
      <c r="C2415" t="s">
        <v>70</v>
      </c>
      <c r="D2415" t="s">
        <v>12</v>
      </c>
      <c r="E2415" t="s">
        <v>5353</v>
      </c>
      <c r="F2415" t="s">
        <v>5354</v>
      </c>
    </row>
    <row r="2416" spans="1:6" x14ac:dyDescent="0.55000000000000004">
      <c r="A2416" t="str">
        <f t="shared" si="79"/>
        <v>60</v>
      </c>
      <c r="B2416" t="str">
        <f>"60.0423"</f>
        <v>60.0423</v>
      </c>
      <c r="C2416" t="s">
        <v>70</v>
      </c>
      <c r="D2416" t="s">
        <v>12</v>
      </c>
      <c r="E2416" t="s">
        <v>5355</v>
      </c>
      <c r="F2416" t="s">
        <v>5356</v>
      </c>
    </row>
    <row r="2417" spans="1:6" x14ac:dyDescent="0.55000000000000004">
      <c r="A2417" t="str">
        <f t="shared" si="79"/>
        <v>60</v>
      </c>
      <c r="B2417" t="str">
        <f>"60.0424"</f>
        <v>60.0424</v>
      </c>
      <c r="C2417" t="s">
        <v>70</v>
      </c>
      <c r="D2417" t="s">
        <v>12</v>
      </c>
      <c r="E2417" t="s">
        <v>5357</v>
      </c>
      <c r="F2417" t="s">
        <v>5358</v>
      </c>
    </row>
    <row r="2418" spans="1:6" x14ac:dyDescent="0.55000000000000004">
      <c r="A2418" t="str">
        <f t="shared" si="79"/>
        <v>60</v>
      </c>
      <c r="B2418" t="str">
        <f>"60.0425"</f>
        <v>60.0425</v>
      </c>
      <c r="C2418" t="s">
        <v>70</v>
      </c>
      <c r="D2418" t="s">
        <v>12</v>
      </c>
      <c r="E2418" t="s">
        <v>5359</v>
      </c>
      <c r="F2418" t="s">
        <v>5360</v>
      </c>
    </row>
    <row r="2419" spans="1:6" x14ac:dyDescent="0.55000000000000004">
      <c r="A2419" t="str">
        <f t="shared" si="79"/>
        <v>60</v>
      </c>
      <c r="B2419" t="str">
        <f>"60.0426"</f>
        <v>60.0426</v>
      </c>
      <c r="C2419" t="s">
        <v>70</v>
      </c>
      <c r="D2419" t="s">
        <v>12</v>
      </c>
      <c r="E2419" t="s">
        <v>5361</v>
      </c>
      <c r="F2419" t="s">
        <v>5362</v>
      </c>
    </row>
    <row r="2420" spans="1:6" x14ac:dyDescent="0.55000000000000004">
      <c r="A2420" t="str">
        <f t="shared" si="79"/>
        <v>60</v>
      </c>
      <c r="B2420" t="str">
        <f>"60.0427"</f>
        <v>60.0427</v>
      </c>
      <c r="C2420" t="s">
        <v>70</v>
      </c>
      <c r="D2420" t="s">
        <v>12</v>
      </c>
      <c r="E2420" t="s">
        <v>5363</v>
      </c>
      <c r="F2420" t="s">
        <v>5364</v>
      </c>
    </row>
    <row r="2421" spans="1:6" x14ac:dyDescent="0.55000000000000004">
      <c r="A2421" t="str">
        <f t="shared" si="79"/>
        <v>60</v>
      </c>
      <c r="B2421" t="str">
        <f>"60.0428"</f>
        <v>60.0428</v>
      </c>
      <c r="C2421" t="s">
        <v>70</v>
      </c>
      <c r="D2421" t="s">
        <v>12</v>
      </c>
      <c r="E2421" t="s">
        <v>5365</v>
      </c>
      <c r="F2421" t="s">
        <v>5366</v>
      </c>
    </row>
    <row r="2422" spans="1:6" x14ac:dyDescent="0.55000000000000004">
      <c r="A2422" t="str">
        <f t="shared" si="79"/>
        <v>60</v>
      </c>
      <c r="B2422" t="str">
        <f>"60.0429"</f>
        <v>60.0429</v>
      </c>
      <c r="C2422" t="s">
        <v>70</v>
      </c>
      <c r="D2422" t="s">
        <v>12</v>
      </c>
      <c r="E2422" t="s">
        <v>5367</v>
      </c>
      <c r="F2422" t="s">
        <v>5368</v>
      </c>
    </row>
    <row r="2423" spans="1:6" x14ac:dyDescent="0.55000000000000004">
      <c r="A2423" t="str">
        <f t="shared" ref="A2423:A2486" si="80">"60"</f>
        <v>60</v>
      </c>
      <c r="B2423" t="str">
        <f>"60.0430"</f>
        <v>60.0430</v>
      </c>
      <c r="C2423" t="s">
        <v>70</v>
      </c>
      <c r="D2423" t="s">
        <v>12</v>
      </c>
      <c r="E2423" t="s">
        <v>5369</v>
      </c>
      <c r="F2423" t="s">
        <v>5370</v>
      </c>
    </row>
    <row r="2424" spans="1:6" x14ac:dyDescent="0.55000000000000004">
      <c r="A2424" t="str">
        <f t="shared" si="80"/>
        <v>60</v>
      </c>
      <c r="B2424" t="str">
        <f>"60.0431"</f>
        <v>60.0431</v>
      </c>
      <c r="C2424" t="s">
        <v>70</v>
      </c>
      <c r="D2424" t="s">
        <v>12</v>
      </c>
      <c r="E2424" t="s">
        <v>5371</v>
      </c>
      <c r="F2424" t="s">
        <v>5372</v>
      </c>
    </row>
    <row r="2425" spans="1:6" x14ac:dyDescent="0.55000000000000004">
      <c r="A2425" t="str">
        <f t="shared" si="80"/>
        <v>60</v>
      </c>
      <c r="B2425" t="str">
        <f>"60.0432"</f>
        <v>60.0432</v>
      </c>
      <c r="C2425" t="s">
        <v>70</v>
      </c>
      <c r="D2425" t="s">
        <v>12</v>
      </c>
      <c r="E2425" t="s">
        <v>5373</v>
      </c>
      <c r="F2425" t="s">
        <v>5374</v>
      </c>
    </row>
    <row r="2426" spans="1:6" x14ac:dyDescent="0.55000000000000004">
      <c r="A2426" t="str">
        <f t="shared" si="80"/>
        <v>60</v>
      </c>
      <c r="B2426" t="str">
        <f>"60.0433"</f>
        <v>60.0433</v>
      </c>
      <c r="C2426" t="s">
        <v>70</v>
      </c>
      <c r="D2426" t="s">
        <v>12</v>
      </c>
      <c r="E2426" t="s">
        <v>5375</v>
      </c>
      <c r="F2426" t="s">
        <v>5376</v>
      </c>
    </row>
    <row r="2427" spans="1:6" x14ac:dyDescent="0.55000000000000004">
      <c r="A2427" t="str">
        <f t="shared" si="80"/>
        <v>60</v>
      </c>
      <c r="B2427" t="str">
        <f>"60.0434"</f>
        <v>60.0434</v>
      </c>
      <c r="C2427" t="s">
        <v>70</v>
      </c>
      <c r="D2427" t="s">
        <v>12</v>
      </c>
      <c r="E2427" t="s">
        <v>5377</v>
      </c>
      <c r="F2427" t="s">
        <v>5378</v>
      </c>
    </row>
    <row r="2428" spans="1:6" x14ac:dyDescent="0.55000000000000004">
      <c r="A2428" t="str">
        <f t="shared" si="80"/>
        <v>60</v>
      </c>
      <c r="B2428" t="str">
        <f>"60.0499"</f>
        <v>60.0499</v>
      </c>
      <c r="C2428" t="s">
        <v>3647</v>
      </c>
      <c r="D2428" t="s">
        <v>12</v>
      </c>
      <c r="E2428" t="s">
        <v>5379</v>
      </c>
      <c r="F2428" t="s">
        <v>5311</v>
      </c>
    </row>
    <row r="2429" spans="1:6" x14ac:dyDescent="0.55000000000000004">
      <c r="A2429" t="str">
        <f t="shared" si="80"/>
        <v>60</v>
      </c>
      <c r="B2429" t="str">
        <f>"60.05"</f>
        <v>60.05</v>
      </c>
      <c r="C2429" t="s">
        <v>3647</v>
      </c>
      <c r="D2429" t="s">
        <v>12</v>
      </c>
      <c r="E2429" t="s">
        <v>5380</v>
      </c>
      <c r="F2429" t="s">
        <v>5311</v>
      </c>
    </row>
    <row r="2430" spans="1:6" x14ac:dyDescent="0.55000000000000004">
      <c r="A2430" t="str">
        <f t="shared" si="80"/>
        <v>60</v>
      </c>
      <c r="B2430" t="str">
        <f>"60.0501"</f>
        <v>60.0501</v>
      </c>
      <c r="C2430" t="s">
        <v>70</v>
      </c>
      <c r="D2430" t="s">
        <v>12</v>
      </c>
      <c r="E2430" t="s">
        <v>5381</v>
      </c>
      <c r="F2430" t="s">
        <v>5382</v>
      </c>
    </row>
    <row r="2431" spans="1:6" x14ac:dyDescent="0.55000000000000004">
      <c r="A2431" t="str">
        <f t="shared" si="80"/>
        <v>60</v>
      </c>
      <c r="B2431" t="str">
        <f>"60.0502"</f>
        <v>60.0502</v>
      </c>
      <c r="C2431" t="s">
        <v>70</v>
      </c>
      <c r="D2431" t="s">
        <v>12</v>
      </c>
      <c r="E2431" t="s">
        <v>5383</v>
      </c>
      <c r="F2431" t="s">
        <v>5384</v>
      </c>
    </row>
    <row r="2432" spans="1:6" x14ac:dyDescent="0.55000000000000004">
      <c r="A2432" t="str">
        <f t="shared" si="80"/>
        <v>60</v>
      </c>
      <c r="B2432" t="str">
        <f>"60.0503"</f>
        <v>60.0503</v>
      </c>
      <c r="C2432" t="s">
        <v>70</v>
      </c>
      <c r="D2432" t="s">
        <v>12</v>
      </c>
      <c r="E2432" t="s">
        <v>5385</v>
      </c>
      <c r="F2432" t="s">
        <v>5386</v>
      </c>
    </row>
    <row r="2433" spans="1:6" x14ac:dyDescent="0.55000000000000004">
      <c r="A2433" t="str">
        <f t="shared" si="80"/>
        <v>60</v>
      </c>
      <c r="B2433" t="str">
        <f>"60.0504"</f>
        <v>60.0504</v>
      </c>
      <c r="C2433" t="s">
        <v>70</v>
      </c>
      <c r="D2433" t="s">
        <v>12</v>
      </c>
      <c r="E2433" t="s">
        <v>5387</v>
      </c>
      <c r="F2433" t="s">
        <v>5388</v>
      </c>
    </row>
    <row r="2434" spans="1:6" x14ac:dyDescent="0.55000000000000004">
      <c r="A2434" t="str">
        <f t="shared" si="80"/>
        <v>60</v>
      </c>
      <c r="B2434" t="str">
        <f>"60.0505"</f>
        <v>60.0505</v>
      </c>
      <c r="C2434" t="s">
        <v>70</v>
      </c>
      <c r="D2434" t="s">
        <v>12</v>
      </c>
      <c r="E2434" t="s">
        <v>5389</v>
      </c>
      <c r="F2434" t="s">
        <v>5390</v>
      </c>
    </row>
    <row r="2435" spans="1:6" x14ac:dyDescent="0.55000000000000004">
      <c r="A2435" t="str">
        <f t="shared" si="80"/>
        <v>60</v>
      </c>
      <c r="B2435" t="str">
        <f>"60.0506"</f>
        <v>60.0506</v>
      </c>
      <c r="C2435" t="s">
        <v>70</v>
      </c>
      <c r="D2435" t="s">
        <v>12</v>
      </c>
      <c r="E2435" t="s">
        <v>5391</v>
      </c>
      <c r="F2435" t="s">
        <v>5392</v>
      </c>
    </row>
    <row r="2436" spans="1:6" x14ac:dyDescent="0.55000000000000004">
      <c r="A2436" t="str">
        <f t="shared" si="80"/>
        <v>60</v>
      </c>
      <c r="B2436" t="str">
        <f>"60.0507"</f>
        <v>60.0507</v>
      </c>
      <c r="C2436" t="s">
        <v>70</v>
      </c>
      <c r="D2436" t="s">
        <v>12</v>
      </c>
      <c r="E2436" t="s">
        <v>5393</v>
      </c>
      <c r="F2436" t="s">
        <v>5394</v>
      </c>
    </row>
    <row r="2437" spans="1:6" x14ac:dyDescent="0.55000000000000004">
      <c r="A2437" t="str">
        <f t="shared" si="80"/>
        <v>60</v>
      </c>
      <c r="B2437" t="str">
        <f>"60.0508"</f>
        <v>60.0508</v>
      </c>
      <c r="C2437" t="s">
        <v>70</v>
      </c>
      <c r="D2437" t="s">
        <v>12</v>
      </c>
      <c r="E2437" t="s">
        <v>5395</v>
      </c>
      <c r="F2437" t="s">
        <v>5396</v>
      </c>
    </row>
    <row r="2438" spans="1:6" x14ac:dyDescent="0.55000000000000004">
      <c r="A2438" t="str">
        <f t="shared" si="80"/>
        <v>60</v>
      </c>
      <c r="B2438" t="str">
        <f>"60.0509"</f>
        <v>60.0509</v>
      </c>
      <c r="C2438" t="s">
        <v>70</v>
      </c>
      <c r="D2438" t="s">
        <v>12</v>
      </c>
      <c r="E2438" t="s">
        <v>5397</v>
      </c>
      <c r="F2438" t="s">
        <v>5398</v>
      </c>
    </row>
    <row r="2439" spans="1:6" x14ac:dyDescent="0.55000000000000004">
      <c r="A2439" t="str">
        <f t="shared" si="80"/>
        <v>60</v>
      </c>
      <c r="B2439" t="str">
        <f>"60.0510"</f>
        <v>60.0510</v>
      </c>
      <c r="C2439" t="s">
        <v>70</v>
      </c>
      <c r="D2439" t="s">
        <v>12</v>
      </c>
      <c r="E2439" t="s">
        <v>5399</v>
      </c>
      <c r="F2439" t="s">
        <v>5400</v>
      </c>
    </row>
    <row r="2440" spans="1:6" x14ac:dyDescent="0.55000000000000004">
      <c r="A2440" t="str">
        <f t="shared" si="80"/>
        <v>60</v>
      </c>
      <c r="B2440" t="str">
        <f>"60.0511"</f>
        <v>60.0511</v>
      </c>
      <c r="C2440" t="s">
        <v>70</v>
      </c>
      <c r="D2440" t="s">
        <v>12</v>
      </c>
      <c r="E2440" t="s">
        <v>5401</v>
      </c>
      <c r="F2440" t="s">
        <v>5402</v>
      </c>
    </row>
    <row r="2441" spans="1:6" x14ac:dyDescent="0.55000000000000004">
      <c r="A2441" t="str">
        <f t="shared" si="80"/>
        <v>60</v>
      </c>
      <c r="B2441" t="str">
        <f>"60.0512"</f>
        <v>60.0512</v>
      </c>
      <c r="C2441" t="s">
        <v>70</v>
      </c>
      <c r="D2441" t="s">
        <v>12</v>
      </c>
      <c r="E2441" t="s">
        <v>5403</v>
      </c>
      <c r="F2441" t="s">
        <v>5404</v>
      </c>
    </row>
    <row r="2442" spans="1:6" x14ac:dyDescent="0.55000000000000004">
      <c r="A2442" t="str">
        <f t="shared" si="80"/>
        <v>60</v>
      </c>
      <c r="B2442" t="str">
        <f>"60.0513"</f>
        <v>60.0513</v>
      </c>
      <c r="C2442" t="s">
        <v>70</v>
      </c>
      <c r="D2442" t="s">
        <v>12</v>
      </c>
      <c r="E2442" t="s">
        <v>5405</v>
      </c>
      <c r="F2442" t="s">
        <v>5406</v>
      </c>
    </row>
    <row r="2443" spans="1:6" x14ac:dyDescent="0.55000000000000004">
      <c r="A2443" t="str">
        <f t="shared" si="80"/>
        <v>60</v>
      </c>
      <c r="B2443" t="str">
        <f>"60.0514"</f>
        <v>60.0514</v>
      </c>
      <c r="C2443" t="s">
        <v>70</v>
      </c>
      <c r="D2443" t="s">
        <v>12</v>
      </c>
      <c r="E2443" t="s">
        <v>5407</v>
      </c>
      <c r="F2443" t="s">
        <v>5408</v>
      </c>
    </row>
    <row r="2444" spans="1:6" x14ac:dyDescent="0.55000000000000004">
      <c r="A2444" t="str">
        <f t="shared" si="80"/>
        <v>60</v>
      </c>
      <c r="B2444" t="str">
        <f>"60.0515"</f>
        <v>60.0515</v>
      </c>
      <c r="C2444" t="s">
        <v>70</v>
      </c>
      <c r="D2444" t="s">
        <v>12</v>
      </c>
      <c r="E2444" t="s">
        <v>5409</v>
      </c>
      <c r="F2444" t="s">
        <v>5410</v>
      </c>
    </row>
    <row r="2445" spans="1:6" x14ac:dyDescent="0.55000000000000004">
      <c r="A2445" t="str">
        <f t="shared" si="80"/>
        <v>60</v>
      </c>
      <c r="B2445" t="str">
        <f>"60.0516"</f>
        <v>60.0516</v>
      </c>
      <c r="C2445" t="s">
        <v>70</v>
      </c>
      <c r="D2445" t="s">
        <v>12</v>
      </c>
      <c r="E2445" t="s">
        <v>5411</v>
      </c>
      <c r="F2445" t="s">
        <v>5412</v>
      </c>
    </row>
    <row r="2446" spans="1:6" x14ac:dyDescent="0.55000000000000004">
      <c r="A2446" t="str">
        <f t="shared" si="80"/>
        <v>60</v>
      </c>
      <c r="B2446" t="str">
        <f>"60.0517"</f>
        <v>60.0517</v>
      </c>
      <c r="C2446" t="s">
        <v>70</v>
      </c>
      <c r="D2446" t="s">
        <v>12</v>
      </c>
      <c r="E2446" t="s">
        <v>5413</v>
      </c>
      <c r="F2446" t="s">
        <v>5414</v>
      </c>
    </row>
    <row r="2447" spans="1:6" x14ac:dyDescent="0.55000000000000004">
      <c r="A2447" t="str">
        <f t="shared" si="80"/>
        <v>60</v>
      </c>
      <c r="B2447" t="str">
        <f>"60.0518"</f>
        <v>60.0518</v>
      </c>
      <c r="C2447" t="s">
        <v>70</v>
      </c>
      <c r="D2447" t="s">
        <v>12</v>
      </c>
      <c r="E2447" t="s">
        <v>5415</v>
      </c>
      <c r="F2447" t="s">
        <v>5416</v>
      </c>
    </row>
    <row r="2448" spans="1:6" x14ac:dyDescent="0.55000000000000004">
      <c r="A2448" t="str">
        <f t="shared" si="80"/>
        <v>60</v>
      </c>
      <c r="B2448" t="str">
        <f>"60.0519"</f>
        <v>60.0519</v>
      </c>
      <c r="C2448" t="s">
        <v>70</v>
      </c>
      <c r="D2448" t="s">
        <v>12</v>
      </c>
      <c r="E2448" t="s">
        <v>5417</v>
      </c>
      <c r="F2448" t="s">
        <v>5418</v>
      </c>
    </row>
    <row r="2449" spans="1:6" x14ac:dyDescent="0.55000000000000004">
      <c r="A2449" t="str">
        <f t="shared" si="80"/>
        <v>60</v>
      </c>
      <c r="B2449" t="str">
        <f>"60.0520"</f>
        <v>60.0520</v>
      </c>
      <c r="C2449" t="s">
        <v>70</v>
      </c>
      <c r="D2449" t="s">
        <v>12</v>
      </c>
      <c r="E2449" t="s">
        <v>5419</v>
      </c>
      <c r="F2449" t="s">
        <v>5420</v>
      </c>
    </row>
    <row r="2450" spans="1:6" x14ac:dyDescent="0.55000000000000004">
      <c r="A2450" t="str">
        <f t="shared" si="80"/>
        <v>60</v>
      </c>
      <c r="B2450" t="str">
        <f>"60.0521"</f>
        <v>60.0521</v>
      </c>
      <c r="C2450" t="s">
        <v>70</v>
      </c>
      <c r="D2450" t="s">
        <v>12</v>
      </c>
      <c r="E2450" t="s">
        <v>5421</v>
      </c>
      <c r="F2450" t="s">
        <v>5422</v>
      </c>
    </row>
    <row r="2451" spans="1:6" x14ac:dyDescent="0.55000000000000004">
      <c r="A2451" t="str">
        <f t="shared" si="80"/>
        <v>60</v>
      </c>
      <c r="B2451" t="str">
        <f>"60.0522"</f>
        <v>60.0522</v>
      </c>
      <c r="C2451" t="s">
        <v>70</v>
      </c>
      <c r="D2451" t="s">
        <v>12</v>
      </c>
      <c r="E2451" t="s">
        <v>5423</v>
      </c>
      <c r="F2451" t="s">
        <v>5424</v>
      </c>
    </row>
    <row r="2452" spans="1:6" x14ac:dyDescent="0.55000000000000004">
      <c r="A2452" t="str">
        <f t="shared" si="80"/>
        <v>60</v>
      </c>
      <c r="B2452" t="str">
        <f>"60.0523"</f>
        <v>60.0523</v>
      </c>
      <c r="C2452" t="s">
        <v>70</v>
      </c>
      <c r="D2452" t="s">
        <v>12</v>
      </c>
      <c r="E2452" t="s">
        <v>5425</v>
      </c>
      <c r="F2452" t="s">
        <v>5426</v>
      </c>
    </row>
    <row r="2453" spans="1:6" x14ac:dyDescent="0.55000000000000004">
      <c r="A2453" t="str">
        <f t="shared" si="80"/>
        <v>60</v>
      </c>
      <c r="B2453" t="str">
        <f>"60.0524"</f>
        <v>60.0524</v>
      </c>
      <c r="C2453" t="s">
        <v>70</v>
      </c>
      <c r="D2453" t="s">
        <v>12</v>
      </c>
      <c r="E2453" t="s">
        <v>5427</v>
      </c>
      <c r="F2453" t="s">
        <v>5428</v>
      </c>
    </row>
    <row r="2454" spans="1:6" x14ac:dyDescent="0.55000000000000004">
      <c r="A2454" t="str">
        <f t="shared" si="80"/>
        <v>60</v>
      </c>
      <c r="B2454" t="str">
        <f>"60.0525"</f>
        <v>60.0525</v>
      </c>
      <c r="C2454" t="s">
        <v>70</v>
      </c>
      <c r="D2454" t="s">
        <v>12</v>
      </c>
      <c r="E2454" t="s">
        <v>5429</v>
      </c>
      <c r="F2454" t="s">
        <v>5430</v>
      </c>
    </row>
    <row r="2455" spans="1:6" x14ac:dyDescent="0.55000000000000004">
      <c r="A2455" t="str">
        <f t="shared" si="80"/>
        <v>60</v>
      </c>
      <c r="B2455" t="str">
        <f>"60.0526"</f>
        <v>60.0526</v>
      </c>
      <c r="C2455" t="s">
        <v>70</v>
      </c>
      <c r="D2455" t="s">
        <v>12</v>
      </c>
      <c r="E2455" t="s">
        <v>5431</v>
      </c>
      <c r="F2455" t="s">
        <v>5432</v>
      </c>
    </row>
    <row r="2456" spans="1:6" x14ac:dyDescent="0.55000000000000004">
      <c r="A2456" t="str">
        <f t="shared" si="80"/>
        <v>60</v>
      </c>
      <c r="B2456" t="str">
        <f>"60.0527"</f>
        <v>60.0527</v>
      </c>
      <c r="C2456" t="s">
        <v>70</v>
      </c>
      <c r="D2456" t="s">
        <v>12</v>
      </c>
      <c r="E2456" t="s">
        <v>5433</v>
      </c>
      <c r="F2456" t="s">
        <v>5434</v>
      </c>
    </row>
    <row r="2457" spans="1:6" x14ac:dyDescent="0.55000000000000004">
      <c r="A2457" t="str">
        <f t="shared" si="80"/>
        <v>60</v>
      </c>
      <c r="B2457" t="str">
        <f>"60.0528"</f>
        <v>60.0528</v>
      </c>
      <c r="C2457" t="s">
        <v>70</v>
      </c>
      <c r="D2457" t="s">
        <v>12</v>
      </c>
      <c r="E2457" t="s">
        <v>5435</v>
      </c>
      <c r="F2457" t="s">
        <v>5436</v>
      </c>
    </row>
    <row r="2458" spans="1:6" x14ac:dyDescent="0.55000000000000004">
      <c r="A2458" t="str">
        <f t="shared" si="80"/>
        <v>60</v>
      </c>
      <c r="B2458" t="str">
        <f>"60.0529"</f>
        <v>60.0529</v>
      </c>
      <c r="C2458" t="s">
        <v>70</v>
      </c>
      <c r="D2458" t="s">
        <v>12</v>
      </c>
      <c r="E2458" t="s">
        <v>5437</v>
      </c>
      <c r="F2458" t="s">
        <v>5438</v>
      </c>
    </row>
    <row r="2459" spans="1:6" x14ac:dyDescent="0.55000000000000004">
      <c r="A2459" t="str">
        <f t="shared" si="80"/>
        <v>60</v>
      </c>
      <c r="B2459" t="str">
        <f>"60.0530"</f>
        <v>60.0530</v>
      </c>
      <c r="C2459" t="s">
        <v>70</v>
      </c>
      <c r="D2459" t="s">
        <v>12</v>
      </c>
      <c r="E2459" t="s">
        <v>5439</v>
      </c>
      <c r="F2459" t="s">
        <v>5440</v>
      </c>
    </row>
    <row r="2460" spans="1:6" x14ac:dyDescent="0.55000000000000004">
      <c r="A2460" t="str">
        <f t="shared" si="80"/>
        <v>60</v>
      </c>
      <c r="B2460" t="str">
        <f>"60.0531"</f>
        <v>60.0531</v>
      </c>
      <c r="C2460" t="s">
        <v>70</v>
      </c>
      <c r="D2460" t="s">
        <v>12</v>
      </c>
      <c r="E2460" t="s">
        <v>5441</v>
      </c>
      <c r="F2460" t="s">
        <v>5442</v>
      </c>
    </row>
    <row r="2461" spans="1:6" x14ac:dyDescent="0.55000000000000004">
      <c r="A2461" t="str">
        <f t="shared" si="80"/>
        <v>60</v>
      </c>
      <c r="B2461" t="str">
        <f>"60.0532"</f>
        <v>60.0532</v>
      </c>
      <c r="C2461" t="s">
        <v>70</v>
      </c>
      <c r="D2461" t="s">
        <v>12</v>
      </c>
      <c r="E2461" t="s">
        <v>5443</v>
      </c>
      <c r="F2461" t="s">
        <v>5444</v>
      </c>
    </row>
    <row r="2462" spans="1:6" x14ac:dyDescent="0.55000000000000004">
      <c r="A2462" t="str">
        <f t="shared" si="80"/>
        <v>60</v>
      </c>
      <c r="B2462" t="str">
        <f>"60.0533"</f>
        <v>60.0533</v>
      </c>
      <c r="C2462" t="s">
        <v>70</v>
      </c>
      <c r="D2462" t="s">
        <v>12</v>
      </c>
      <c r="E2462" t="s">
        <v>5445</v>
      </c>
      <c r="F2462" t="s">
        <v>5446</v>
      </c>
    </row>
    <row r="2463" spans="1:6" x14ac:dyDescent="0.55000000000000004">
      <c r="A2463" t="str">
        <f t="shared" si="80"/>
        <v>60</v>
      </c>
      <c r="B2463" t="str">
        <f>"60.0534"</f>
        <v>60.0534</v>
      </c>
      <c r="C2463" t="s">
        <v>70</v>
      </c>
      <c r="D2463" t="s">
        <v>12</v>
      </c>
      <c r="E2463" t="s">
        <v>5447</v>
      </c>
      <c r="F2463" t="s">
        <v>5448</v>
      </c>
    </row>
    <row r="2464" spans="1:6" x14ac:dyDescent="0.55000000000000004">
      <c r="A2464" t="str">
        <f t="shared" si="80"/>
        <v>60</v>
      </c>
      <c r="B2464" t="str">
        <f>"60.0535"</f>
        <v>60.0535</v>
      </c>
      <c r="C2464" t="s">
        <v>70</v>
      </c>
      <c r="D2464" t="s">
        <v>12</v>
      </c>
      <c r="E2464" t="s">
        <v>5449</v>
      </c>
      <c r="F2464" t="s">
        <v>5450</v>
      </c>
    </row>
    <row r="2465" spans="1:6" x14ac:dyDescent="0.55000000000000004">
      <c r="A2465" t="str">
        <f t="shared" si="80"/>
        <v>60</v>
      </c>
      <c r="B2465" t="str">
        <f>"60.0536"</f>
        <v>60.0536</v>
      </c>
      <c r="C2465" t="s">
        <v>70</v>
      </c>
      <c r="D2465" t="s">
        <v>12</v>
      </c>
      <c r="E2465" t="s">
        <v>5451</v>
      </c>
      <c r="F2465" t="s">
        <v>5452</v>
      </c>
    </row>
    <row r="2466" spans="1:6" x14ac:dyDescent="0.55000000000000004">
      <c r="A2466" t="str">
        <f t="shared" si="80"/>
        <v>60</v>
      </c>
      <c r="B2466" t="str">
        <f>"60.0537"</f>
        <v>60.0537</v>
      </c>
      <c r="C2466" t="s">
        <v>70</v>
      </c>
      <c r="D2466" t="s">
        <v>12</v>
      </c>
      <c r="E2466" t="s">
        <v>5453</v>
      </c>
      <c r="F2466" t="s">
        <v>5454</v>
      </c>
    </row>
    <row r="2467" spans="1:6" x14ac:dyDescent="0.55000000000000004">
      <c r="A2467" t="str">
        <f t="shared" si="80"/>
        <v>60</v>
      </c>
      <c r="B2467" t="str">
        <f>"60.0538"</f>
        <v>60.0538</v>
      </c>
      <c r="C2467" t="s">
        <v>70</v>
      </c>
      <c r="D2467" t="s">
        <v>12</v>
      </c>
      <c r="E2467" t="s">
        <v>5455</v>
      </c>
      <c r="F2467" t="s">
        <v>5456</v>
      </c>
    </row>
    <row r="2468" spans="1:6" x14ac:dyDescent="0.55000000000000004">
      <c r="A2468" t="str">
        <f t="shared" si="80"/>
        <v>60</v>
      </c>
      <c r="B2468" t="str">
        <f>"60.0539"</f>
        <v>60.0539</v>
      </c>
      <c r="C2468" t="s">
        <v>70</v>
      </c>
      <c r="D2468" t="s">
        <v>12</v>
      </c>
      <c r="E2468" t="s">
        <v>5457</v>
      </c>
      <c r="F2468" t="s">
        <v>5458</v>
      </c>
    </row>
    <row r="2469" spans="1:6" x14ac:dyDescent="0.55000000000000004">
      <c r="A2469" t="str">
        <f t="shared" si="80"/>
        <v>60</v>
      </c>
      <c r="B2469" t="str">
        <f>"60.0540"</f>
        <v>60.0540</v>
      </c>
      <c r="C2469" t="s">
        <v>70</v>
      </c>
      <c r="D2469" t="s">
        <v>12</v>
      </c>
      <c r="E2469" t="s">
        <v>5459</v>
      </c>
      <c r="F2469" t="s">
        <v>5460</v>
      </c>
    </row>
    <row r="2470" spans="1:6" x14ac:dyDescent="0.55000000000000004">
      <c r="A2470" t="str">
        <f t="shared" si="80"/>
        <v>60</v>
      </c>
      <c r="B2470" t="str">
        <f>"60.0541"</f>
        <v>60.0541</v>
      </c>
      <c r="C2470" t="s">
        <v>70</v>
      </c>
      <c r="D2470" t="s">
        <v>12</v>
      </c>
      <c r="E2470" t="s">
        <v>5461</v>
      </c>
      <c r="F2470" t="s">
        <v>5462</v>
      </c>
    </row>
    <row r="2471" spans="1:6" x14ac:dyDescent="0.55000000000000004">
      <c r="A2471" t="str">
        <f t="shared" si="80"/>
        <v>60</v>
      </c>
      <c r="B2471" t="str">
        <f>"60.0542"</f>
        <v>60.0542</v>
      </c>
      <c r="C2471" t="s">
        <v>70</v>
      </c>
      <c r="D2471" t="s">
        <v>12</v>
      </c>
      <c r="E2471" t="s">
        <v>5463</v>
      </c>
      <c r="F2471" t="s">
        <v>5464</v>
      </c>
    </row>
    <row r="2472" spans="1:6" x14ac:dyDescent="0.55000000000000004">
      <c r="A2472" t="str">
        <f t="shared" si="80"/>
        <v>60</v>
      </c>
      <c r="B2472" t="str">
        <f>"60.0543"</f>
        <v>60.0543</v>
      </c>
      <c r="C2472" t="s">
        <v>70</v>
      </c>
      <c r="D2472" t="s">
        <v>12</v>
      </c>
      <c r="E2472" t="s">
        <v>5465</v>
      </c>
      <c r="F2472" t="s">
        <v>5466</v>
      </c>
    </row>
    <row r="2473" spans="1:6" x14ac:dyDescent="0.55000000000000004">
      <c r="A2473" t="str">
        <f t="shared" si="80"/>
        <v>60</v>
      </c>
      <c r="B2473" t="str">
        <f>"60.0544"</f>
        <v>60.0544</v>
      </c>
      <c r="C2473" t="s">
        <v>70</v>
      </c>
      <c r="D2473" t="s">
        <v>12</v>
      </c>
      <c r="E2473" t="s">
        <v>5467</v>
      </c>
      <c r="F2473" t="s">
        <v>5468</v>
      </c>
    </row>
    <row r="2474" spans="1:6" x14ac:dyDescent="0.55000000000000004">
      <c r="A2474" t="str">
        <f t="shared" si="80"/>
        <v>60</v>
      </c>
      <c r="B2474" t="str">
        <f>"60.0545"</f>
        <v>60.0545</v>
      </c>
      <c r="C2474" t="s">
        <v>70</v>
      </c>
      <c r="D2474" t="s">
        <v>12</v>
      </c>
      <c r="E2474" t="s">
        <v>5469</v>
      </c>
      <c r="F2474" t="s">
        <v>5470</v>
      </c>
    </row>
    <row r="2475" spans="1:6" x14ac:dyDescent="0.55000000000000004">
      <c r="A2475" t="str">
        <f t="shared" si="80"/>
        <v>60</v>
      </c>
      <c r="B2475" t="str">
        <f>"60.0546"</f>
        <v>60.0546</v>
      </c>
      <c r="C2475" t="s">
        <v>70</v>
      </c>
      <c r="D2475" t="s">
        <v>12</v>
      </c>
      <c r="E2475" t="s">
        <v>5471</v>
      </c>
      <c r="F2475" t="s">
        <v>5472</v>
      </c>
    </row>
    <row r="2476" spans="1:6" x14ac:dyDescent="0.55000000000000004">
      <c r="A2476" t="str">
        <f t="shared" si="80"/>
        <v>60</v>
      </c>
      <c r="B2476" t="str">
        <f>"60.0547"</f>
        <v>60.0547</v>
      </c>
      <c r="C2476" t="s">
        <v>70</v>
      </c>
      <c r="D2476" t="s">
        <v>12</v>
      </c>
      <c r="E2476" t="s">
        <v>5473</v>
      </c>
      <c r="F2476" t="s">
        <v>5474</v>
      </c>
    </row>
    <row r="2477" spans="1:6" x14ac:dyDescent="0.55000000000000004">
      <c r="A2477" t="str">
        <f t="shared" si="80"/>
        <v>60</v>
      </c>
      <c r="B2477" t="str">
        <f>"60.0548"</f>
        <v>60.0548</v>
      </c>
      <c r="C2477" t="s">
        <v>70</v>
      </c>
      <c r="D2477" t="s">
        <v>12</v>
      </c>
      <c r="E2477" t="s">
        <v>5475</v>
      </c>
      <c r="F2477" t="s">
        <v>5476</v>
      </c>
    </row>
    <row r="2478" spans="1:6" x14ac:dyDescent="0.55000000000000004">
      <c r="A2478" t="str">
        <f t="shared" si="80"/>
        <v>60</v>
      </c>
      <c r="B2478" t="str">
        <f>"60.0549"</f>
        <v>60.0549</v>
      </c>
      <c r="C2478" t="s">
        <v>70</v>
      </c>
      <c r="D2478" t="s">
        <v>12</v>
      </c>
      <c r="E2478" t="s">
        <v>5477</v>
      </c>
      <c r="F2478" t="s">
        <v>5478</v>
      </c>
    </row>
    <row r="2479" spans="1:6" x14ac:dyDescent="0.55000000000000004">
      <c r="A2479" t="str">
        <f t="shared" si="80"/>
        <v>60</v>
      </c>
      <c r="B2479" t="str">
        <f>"60.0550"</f>
        <v>60.0550</v>
      </c>
      <c r="C2479" t="s">
        <v>70</v>
      </c>
      <c r="D2479" t="s">
        <v>12</v>
      </c>
      <c r="E2479" t="s">
        <v>5479</v>
      </c>
      <c r="F2479" t="s">
        <v>5480</v>
      </c>
    </row>
    <row r="2480" spans="1:6" x14ac:dyDescent="0.55000000000000004">
      <c r="A2480" t="str">
        <f t="shared" si="80"/>
        <v>60</v>
      </c>
      <c r="B2480" t="str">
        <f>"60.0551"</f>
        <v>60.0551</v>
      </c>
      <c r="C2480" t="s">
        <v>70</v>
      </c>
      <c r="D2480" t="s">
        <v>12</v>
      </c>
      <c r="E2480" t="s">
        <v>5481</v>
      </c>
      <c r="F2480" t="s">
        <v>5482</v>
      </c>
    </row>
    <row r="2481" spans="1:6" x14ac:dyDescent="0.55000000000000004">
      <c r="A2481" t="str">
        <f t="shared" si="80"/>
        <v>60</v>
      </c>
      <c r="B2481" t="str">
        <f>"60.0552"</f>
        <v>60.0552</v>
      </c>
      <c r="C2481" t="s">
        <v>70</v>
      </c>
      <c r="D2481" t="s">
        <v>12</v>
      </c>
      <c r="E2481" t="s">
        <v>5483</v>
      </c>
      <c r="F2481" t="s">
        <v>5484</v>
      </c>
    </row>
    <row r="2482" spans="1:6" x14ac:dyDescent="0.55000000000000004">
      <c r="A2482" t="str">
        <f t="shared" si="80"/>
        <v>60</v>
      </c>
      <c r="B2482" t="str">
        <f>"60.0553"</f>
        <v>60.0553</v>
      </c>
      <c r="C2482" t="s">
        <v>70</v>
      </c>
      <c r="D2482" t="s">
        <v>12</v>
      </c>
      <c r="E2482" t="s">
        <v>5485</v>
      </c>
      <c r="F2482" t="s">
        <v>5486</v>
      </c>
    </row>
    <row r="2483" spans="1:6" x14ac:dyDescent="0.55000000000000004">
      <c r="A2483" t="str">
        <f t="shared" si="80"/>
        <v>60</v>
      </c>
      <c r="B2483" t="str">
        <f>"60.0554"</f>
        <v>60.0554</v>
      </c>
      <c r="C2483" t="s">
        <v>70</v>
      </c>
      <c r="D2483" t="s">
        <v>12</v>
      </c>
      <c r="E2483" t="s">
        <v>5487</v>
      </c>
      <c r="F2483" t="s">
        <v>5488</v>
      </c>
    </row>
    <row r="2484" spans="1:6" x14ac:dyDescent="0.55000000000000004">
      <c r="A2484" t="str">
        <f t="shared" si="80"/>
        <v>60</v>
      </c>
      <c r="B2484" t="str">
        <f>"60.0555"</f>
        <v>60.0555</v>
      </c>
      <c r="C2484" t="s">
        <v>70</v>
      </c>
      <c r="D2484" t="s">
        <v>12</v>
      </c>
      <c r="E2484" t="s">
        <v>5489</v>
      </c>
      <c r="F2484" t="s">
        <v>5490</v>
      </c>
    </row>
    <row r="2485" spans="1:6" x14ac:dyDescent="0.55000000000000004">
      <c r="A2485" t="str">
        <f t="shared" si="80"/>
        <v>60</v>
      </c>
      <c r="B2485" t="str">
        <f>"60.0556"</f>
        <v>60.0556</v>
      </c>
      <c r="C2485" t="s">
        <v>70</v>
      </c>
      <c r="D2485" t="s">
        <v>12</v>
      </c>
      <c r="E2485" t="s">
        <v>5491</v>
      </c>
      <c r="F2485" t="s">
        <v>5492</v>
      </c>
    </row>
    <row r="2486" spans="1:6" x14ac:dyDescent="0.55000000000000004">
      <c r="A2486" t="str">
        <f t="shared" si="80"/>
        <v>60</v>
      </c>
      <c r="B2486" t="str">
        <f>"60.0557"</f>
        <v>60.0557</v>
      </c>
      <c r="C2486" t="s">
        <v>70</v>
      </c>
      <c r="D2486" t="s">
        <v>12</v>
      </c>
      <c r="E2486" t="s">
        <v>5493</v>
      </c>
      <c r="F2486" t="s">
        <v>5494</v>
      </c>
    </row>
    <row r="2487" spans="1:6" x14ac:dyDescent="0.55000000000000004">
      <c r="A2487" t="str">
        <f t="shared" ref="A2487:A2550" si="81">"60"</f>
        <v>60</v>
      </c>
      <c r="B2487" t="str">
        <f>"60.0558"</f>
        <v>60.0558</v>
      </c>
      <c r="C2487" t="s">
        <v>70</v>
      </c>
      <c r="D2487" t="s">
        <v>12</v>
      </c>
      <c r="E2487" t="s">
        <v>5495</v>
      </c>
      <c r="F2487" t="s">
        <v>5496</v>
      </c>
    </row>
    <row r="2488" spans="1:6" x14ac:dyDescent="0.55000000000000004">
      <c r="A2488" t="str">
        <f t="shared" si="81"/>
        <v>60</v>
      </c>
      <c r="B2488" t="str">
        <f>"60.0559"</f>
        <v>60.0559</v>
      </c>
      <c r="C2488" t="s">
        <v>70</v>
      </c>
      <c r="D2488" t="s">
        <v>12</v>
      </c>
      <c r="E2488" t="s">
        <v>5497</v>
      </c>
      <c r="F2488" t="s">
        <v>5498</v>
      </c>
    </row>
    <row r="2489" spans="1:6" x14ac:dyDescent="0.55000000000000004">
      <c r="A2489" t="str">
        <f t="shared" si="81"/>
        <v>60</v>
      </c>
      <c r="B2489" t="str">
        <f>"60.0560"</f>
        <v>60.0560</v>
      </c>
      <c r="C2489" t="s">
        <v>70</v>
      </c>
      <c r="D2489" t="s">
        <v>12</v>
      </c>
      <c r="E2489" t="s">
        <v>5499</v>
      </c>
      <c r="F2489" t="s">
        <v>5500</v>
      </c>
    </row>
    <row r="2490" spans="1:6" x14ac:dyDescent="0.55000000000000004">
      <c r="A2490" t="str">
        <f t="shared" si="81"/>
        <v>60</v>
      </c>
      <c r="B2490" t="str">
        <f>"60.0561"</f>
        <v>60.0561</v>
      </c>
      <c r="C2490" t="s">
        <v>70</v>
      </c>
      <c r="D2490" t="s">
        <v>12</v>
      </c>
      <c r="E2490" t="s">
        <v>5501</v>
      </c>
      <c r="F2490" t="s">
        <v>5502</v>
      </c>
    </row>
    <row r="2491" spans="1:6" x14ac:dyDescent="0.55000000000000004">
      <c r="A2491" t="str">
        <f t="shared" si="81"/>
        <v>60</v>
      </c>
      <c r="B2491" t="str">
        <f>"60.0562"</f>
        <v>60.0562</v>
      </c>
      <c r="C2491" t="s">
        <v>70</v>
      </c>
      <c r="D2491" t="s">
        <v>12</v>
      </c>
      <c r="E2491" t="s">
        <v>5503</v>
      </c>
      <c r="F2491" t="s">
        <v>5504</v>
      </c>
    </row>
    <row r="2492" spans="1:6" x14ac:dyDescent="0.55000000000000004">
      <c r="A2492" t="str">
        <f t="shared" si="81"/>
        <v>60</v>
      </c>
      <c r="B2492" t="str">
        <f>"60.0563"</f>
        <v>60.0563</v>
      </c>
      <c r="C2492" t="s">
        <v>70</v>
      </c>
      <c r="D2492" t="s">
        <v>12</v>
      </c>
      <c r="E2492" t="s">
        <v>5505</v>
      </c>
      <c r="F2492" t="s">
        <v>5506</v>
      </c>
    </row>
    <row r="2493" spans="1:6" x14ac:dyDescent="0.55000000000000004">
      <c r="A2493" t="str">
        <f t="shared" si="81"/>
        <v>60</v>
      </c>
      <c r="B2493" t="str">
        <f>"60.0564"</f>
        <v>60.0564</v>
      </c>
      <c r="C2493" t="s">
        <v>70</v>
      </c>
      <c r="D2493" t="s">
        <v>12</v>
      </c>
      <c r="E2493" t="s">
        <v>5507</v>
      </c>
      <c r="F2493" t="s">
        <v>5508</v>
      </c>
    </row>
    <row r="2494" spans="1:6" x14ac:dyDescent="0.55000000000000004">
      <c r="A2494" t="str">
        <f t="shared" si="81"/>
        <v>60</v>
      </c>
      <c r="B2494" t="str">
        <f>"60.0565"</f>
        <v>60.0565</v>
      </c>
      <c r="C2494" t="s">
        <v>70</v>
      </c>
      <c r="D2494" t="s">
        <v>12</v>
      </c>
      <c r="E2494" t="s">
        <v>5509</v>
      </c>
      <c r="F2494" t="s">
        <v>5510</v>
      </c>
    </row>
    <row r="2495" spans="1:6" x14ac:dyDescent="0.55000000000000004">
      <c r="A2495" t="str">
        <f t="shared" si="81"/>
        <v>60</v>
      </c>
      <c r="B2495" t="str">
        <f>"60.0566"</f>
        <v>60.0566</v>
      </c>
      <c r="C2495" t="s">
        <v>70</v>
      </c>
      <c r="D2495" t="s">
        <v>12</v>
      </c>
      <c r="E2495" t="s">
        <v>5511</v>
      </c>
      <c r="F2495" t="s">
        <v>5512</v>
      </c>
    </row>
    <row r="2496" spans="1:6" x14ac:dyDescent="0.55000000000000004">
      <c r="A2496" t="str">
        <f t="shared" si="81"/>
        <v>60</v>
      </c>
      <c r="B2496" t="str">
        <f>"60.0567"</f>
        <v>60.0567</v>
      </c>
      <c r="C2496" t="s">
        <v>70</v>
      </c>
      <c r="D2496" t="s">
        <v>12</v>
      </c>
      <c r="E2496" t="s">
        <v>5513</v>
      </c>
      <c r="F2496" t="s">
        <v>5514</v>
      </c>
    </row>
    <row r="2497" spans="1:6" x14ac:dyDescent="0.55000000000000004">
      <c r="A2497" t="str">
        <f t="shared" si="81"/>
        <v>60</v>
      </c>
      <c r="B2497" t="str">
        <f>"60.0568"</f>
        <v>60.0568</v>
      </c>
      <c r="C2497" t="s">
        <v>3647</v>
      </c>
      <c r="D2497" t="s">
        <v>12</v>
      </c>
      <c r="E2497" t="s">
        <v>5515</v>
      </c>
      <c r="F2497" t="s">
        <v>5516</v>
      </c>
    </row>
    <row r="2498" spans="1:6" x14ac:dyDescent="0.55000000000000004">
      <c r="A2498" t="str">
        <f t="shared" si="81"/>
        <v>60</v>
      </c>
      <c r="B2498" t="str">
        <f>"60.0569"</f>
        <v>60.0569</v>
      </c>
      <c r="C2498" t="s">
        <v>70</v>
      </c>
      <c r="D2498" t="s">
        <v>12</v>
      </c>
      <c r="E2498" t="s">
        <v>5517</v>
      </c>
      <c r="F2498" t="s">
        <v>5518</v>
      </c>
    </row>
    <row r="2499" spans="1:6" x14ac:dyDescent="0.55000000000000004">
      <c r="A2499" t="str">
        <f t="shared" si="81"/>
        <v>60</v>
      </c>
      <c r="B2499" t="str">
        <f>"60.0570"</f>
        <v>60.0570</v>
      </c>
      <c r="C2499" t="s">
        <v>70</v>
      </c>
      <c r="D2499" t="s">
        <v>12</v>
      </c>
      <c r="E2499" t="s">
        <v>5519</v>
      </c>
      <c r="F2499" t="s">
        <v>5520</v>
      </c>
    </row>
    <row r="2500" spans="1:6" x14ac:dyDescent="0.55000000000000004">
      <c r="A2500" t="str">
        <f t="shared" si="81"/>
        <v>60</v>
      </c>
      <c r="B2500" t="str">
        <f>"60.0571"</f>
        <v>60.0571</v>
      </c>
      <c r="C2500" t="s">
        <v>70</v>
      </c>
      <c r="D2500" t="s">
        <v>12</v>
      </c>
      <c r="E2500" t="s">
        <v>5521</v>
      </c>
      <c r="F2500" t="s">
        <v>5522</v>
      </c>
    </row>
    <row r="2501" spans="1:6" x14ac:dyDescent="0.55000000000000004">
      <c r="A2501" t="str">
        <f t="shared" si="81"/>
        <v>60</v>
      </c>
      <c r="B2501" t="str">
        <f>"60.0572"</f>
        <v>60.0572</v>
      </c>
      <c r="C2501" t="s">
        <v>70</v>
      </c>
      <c r="D2501" t="s">
        <v>12</v>
      </c>
      <c r="E2501" t="s">
        <v>5523</v>
      </c>
      <c r="F2501" t="s">
        <v>5524</v>
      </c>
    </row>
    <row r="2502" spans="1:6" x14ac:dyDescent="0.55000000000000004">
      <c r="A2502" t="str">
        <f t="shared" si="81"/>
        <v>60</v>
      </c>
      <c r="B2502" t="str">
        <f>"60.0573"</f>
        <v>60.0573</v>
      </c>
      <c r="C2502" t="s">
        <v>70</v>
      </c>
      <c r="D2502" t="s">
        <v>12</v>
      </c>
      <c r="E2502" t="s">
        <v>5525</v>
      </c>
      <c r="F2502" t="s">
        <v>5526</v>
      </c>
    </row>
    <row r="2503" spans="1:6" x14ac:dyDescent="0.55000000000000004">
      <c r="A2503" t="str">
        <f t="shared" si="81"/>
        <v>60</v>
      </c>
      <c r="B2503" t="str">
        <f>"60.0574"</f>
        <v>60.0574</v>
      </c>
      <c r="C2503" t="s">
        <v>70</v>
      </c>
      <c r="D2503" t="s">
        <v>12</v>
      </c>
      <c r="E2503" t="s">
        <v>5527</v>
      </c>
      <c r="F2503" t="s">
        <v>5528</v>
      </c>
    </row>
    <row r="2504" spans="1:6" x14ac:dyDescent="0.55000000000000004">
      <c r="A2504" t="str">
        <f t="shared" si="81"/>
        <v>60</v>
      </c>
      <c r="B2504" t="str">
        <f>"60.0575"</f>
        <v>60.0575</v>
      </c>
      <c r="C2504" t="s">
        <v>70</v>
      </c>
      <c r="D2504" t="s">
        <v>12</v>
      </c>
      <c r="E2504" t="s">
        <v>5529</v>
      </c>
      <c r="F2504" t="s">
        <v>5530</v>
      </c>
    </row>
    <row r="2505" spans="1:6" x14ac:dyDescent="0.55000000000000004">
      <c r="A2505" t="str">
        <f t="shared" si="81"/>
        <v>60</v>
      </c>
      <c r="B2505" t="str">
        <f>"60.0576"</f>
        <v>60.0576</v>
      </c>
      <c r="C2505" t="s">
        <v>70</v>
      </c>
      <c r="D2505" t="s">
        <v>12</v>
      </c>
      <c r="E2505" t="s">
        <v>5531</v>
      </c>
      <c r="F2505" t="s">
        <v>5532</v>
      </c>
    </row>
    <row r="2506" spans="1:6" x14ac:dyDescent="0.55000000000000004">
      <c r="A2506" t="str">
        <f t="shared" si="81"/>
        <v>60</v>
      </c>
      <c r="B2506" t="str">
        <f>"60.0577"</f>
        <v>60.0577</v>
      </c>
      <c r="C2506" t="s">
        <v>70</v>
      </c>
      <c r="D2506" t="s">
        <v>12</v>
      </c>
      <c r="E2506" t="s">
        <v>5533</v>
      </c>
      <c r="F2506" t="s">
        <v>5534</v>
      </c>
    </row>
    <row r="2507" spans="1:6" x14ac:dyDescent="0.55000000000000004">
      <c r="A2507" t="str">
        <f t="shared" si="81"/>
        <v>60</v>
      </c>
      <c r="B2507" t="str">
        <f>"60.0578"</f>
        <v>60.0578</v>
      </c>
      <c r="C2507" t="s">
        <v>70</v>
      </c>
      <c r="D2507" t="s">
        <v>12</v>
      </c>
      <c r="E2507" t="s">
        <v>5535</v>
      </c>
      <c r="F2507" t="s">
        <v>5536</v>
      </c>
    </row>
    <row r="2508" spans="1:6" x14ac:dyDescent="0.55000000000000004">
      <c r="A2508" t="str">
        <f t="shared" si="81"/>
        <v>60</v>
      </c>
      <c r="B2508" t="str">
        <f>"60.0579"</f>
        <v>60.0579</v>
      </c>
      <c r="C2508" t="s">
        <v>70</v>
      </c>
      <c r="D2508" t="s">
        <v>12</v>
      </c>
      <c r="E2508" t="s">
        <v>5537</v>
      </c>
      <c r="F2508" t="s">
        <v>5538</v>
      </c>
    </row>
    <row r="2509" spans="1:6" x14ac:dyDescent="0.55000000000000004">
      <c r="A2509" t="str">
        <f t="shared" si="81"/>
        <v>60</v>
      </c>
      <c r="B2509" t="str">
        <f>"60.0580"</f>
        <v>60.0580</v>
      </c>
      <c r="C2509" t="s">
        <v>70</v>
      </c>
      <c r="D2509" t="s">
        <v>12</v>
      </c>
      <c r="E2509" t="s">
        <v>5539</v>
      </c>
      <c r="F2509" t="s">
        <v>5540</v>
      </c>
    </row>
    <row r="2510" spans="1:6" x14ac:dyDescent="0.55000000000000004">
      <c r="A2510" t="str">
        <f t="shared" si="81"/>
        <v>60</v>
      </c>
      <c r="B2510" t="str">
        <f>"60.0581"</f>
        <v>60.0581</v>
      </c>
      <c r="C2510" t="s">
        <v>70</v>
      </c>
      <c r="D2510" t="s">
        <v>12</v>
      </c>
      <c r="E2510" t="s">
        <v>5541</v>
      </c>
      <c r="F2510" t="s">
        <v>5542</v>
      </c>
    </row>
    <row r="2511" spans="1:6" x14ac:dyDescent="0.55000000000000004">
      <c r="A2511" t="str">
        <f t="shared" si="81"/>
        <v>60</v>
      </c>
      <c r="B2511" t="str">
        <f>"60.0582"</f>
        <v>60.0582</v>
      </c>
      <c r="C2511" t="s">
        <v>70</v>
      </c>
      <c r="D2511" t="s">
        <v>12</v>
      </c>
      <c r="E2511" t="s">
        <v>5543</v>
      </c>
      <c r="F2511" t="s">
        <v>5544</v>
      </c>
    </row>
    <row r="2512" spans="1:6" x14ac:dyDescent="0.55000000000000004">
      <c r="A2512" t="str">
        <f t="shared" si="81"/>
        <v>60</v>
      </c>
      <c r="B2512" t="str">
        <f>"60.0583"</f>
        <v>60.0583</v>
      </c>
      <c r="C2512" t="s">
        <v>70</v>
      </c>
      <c r="D2512" t="s">
        <v>12</v>
      </c>
      <c r="E2512" t="s">
        <v>5545</v>
      </c>
      <c r="F2512" t="s">
        <v>5546</v>
      </c>
    </row>
    <row r="2513" spans="1:6" x14ac:dyDescent="0.55000000000000004">
      <c r="A2513" t="str">
        <f t="shared" si="81"/>
        <v>60</v>
      </c>
      <c r="B2513" t="str">
        <f>"60.0584"</f>
        <v>60.0584</v>
      </c>
      <c r="C2513" t="s">
        <v>70</v>
      </c>
      <c r="D2513" t="s">
        <v>12</v>
      </c>
      <c r="E2513" t="s">
        <v>5547</v>
      </c>
      <c r="F2513" t="s">
        <v>5548</v>
      </c>
    </row>
    <row r="2514" spans="1:6" x14ac:dyDescent="0.55000000000000004">
      <c r="A2514" t="str">
        <f t="shared" si="81"/>
        <v>60</v>
      </c>
      <c r="B2514" t="str">
        <f>"60.0599"</f>
        <v>60.0599</v>
      </c>
      <c r="C2514" t="s">
        <v>3647</v>
      </c>
      <c r="D2514" t="s">
        <v>12</v>
      </c>
      <c r="E2514" t="s">
        <v>5549</v>
      </c>
      <c r="F2514" t="s">
        <v>5311</v>
      </c>
    </row>
    <row r="2515" spans="1:6" x14ac:dyDescent="0.55000000000000004">
      <c r="A2515" t="str">
        <f t="shared" si="81"/>
        <v>60</v>
      </c>
      <c r="B2515" t="str">
        <f>"60.06"</f>
        <v>60.06</v>
      </c>
      <c r="C2515" t="s">
        <v>70</v>
      </c>
      <c r="D2515" t="s">
        <v>12</v>
      </c>
      <c r="E2515" t="s">
        <v>5550</v>
      </c>
      <c r="F2515" t="s">
        <v>5551</v>
      </c>
    </row>
    <row r="2516" spans="1:6" x14ac:dyDescent="0.55000000000000004">
      <c r="A2516" t="str">
        <f t="shared" si="81"/>
        <v>60</v>
      </c>
      <c r="B2516" t="str">
        <f>"60.0601"</f>
        <v>60.0601</v>
      </c>
      <c r="C2516" t="s">
        <v>3647</v>
      </c>
      <c r="D2516" t="s">
        <v>12</v>
      </c>
      <c r="E2516" t="s">
        <v>5552</v>
      </c>
      <c r="F2516" t="s">
        <v>5553</v>
      </c>
    </row>
    <row r="2517" spans="1:6" x14ac:dyDescent="0.55000000000000004">
      <c r="A2517" t="str">
        <f t="shared" si="81"/>
        <v>60</v>
      </c>
      <c r="B2517" t="str">
        <f>"60.0602"</f>
        <v>60.0602</v>
      </c>
      <c r="C2517" t="s">
        <v>3647</v>
      </c>
      <c r="D2517" t="s">
        <v>12</v>
      </c>
      <c r="E2517" t="s">
        <v>5554</v>
      </c>
      <c r="F2517" t="s">
        <v>5553</v>
      </c>
    </row>
    <row r="2518" spans="1:6" x14ac:dyDescent="0.55000000000000004">
      <c r="A2518" t="str">
        <f t="shared" si="81"/>
        <v>60</v>
      </c>
      <c r="B2518" t="str">
        <f>"60.07"</f>
        <v>60.07</v>
      </c>
      <c r="C2518" t="s">
        <v>47</v>
      </c>
      <c r="D2518" t="s">
        <v>12</v>
      </c>
      <c r="E2518" t="s">
        <v>5555</v>
      </c>
      <c r="F2518" t="s">
        <v>5556</v>
      </c>
    </row>
    <row r="2519" spans="1:6" x14ac:dyDescent="0.55000000000000004">
      <c r="A2519" t="str">
        <f t="shared" si="81"/>
        <v>60</v>
      </c>
      <c r="B2519" t="str">
        <f>"60.0701"</f>
        <v>60.0701</v>
      </c>
      <c r="C2519" t="s">
        <v>47</v>
      </c>
      <c r="D2519" t="s">
        <v>12</v>
      </c>
      <c r="E2519" t="s">
        <v>5557</v>
      </c>
      <c r="F2519" t="s">
        <v>5558</v>
      </c>
    </row>
    <row r="2520" spans="1:6" x14ac:dyDescent="0.55000000000000004">
      <c r="A2520" t="str">
        <f t="shared" si="81"/>
        <v>60</v>
      </c>
      <c r="B2520" t="str">
        <f>"60.0702"</f>
        <v>60.0702</v>
      </c>
      <c r="C2520" t="s">
        <v>47</v>
      </c>
      <c r="D2520" t="s">
        <v>12</v>
      </c>
      <c r="E2520" t="s">
        <v>5559</v>
      </c>
      <c r="F2520" t="s">
        <v>5560</v>
      </c>
    </row>
    <row r="2521" spans="1:6" x14ac:dyDescent="0.55000000000000004">
      <c r="A2521" t="str">
        <f t="shared" si="81"/>
        <v>60</v>
      </c>
      <c r="B2521" t="str">
        <f>"60.0703"</f>
        <v>60.0703</v>
      </c>
      <c r="C2521" t="s">
        <v>47</v>
      </c>
      <c r="D2521" t="s">
        <v>12</v>
      </c>
      <c r="E2521" t="s">
        <v>5561</v>
      </c>
      <c r="F2521" t="s">
        <v>5562</v>
      </c>
    </row>
    <row r="2522" spans="1:6" x14ac:dyDescent="0.55000000000000004">
      <c r="A2522" t="str">
        <f t="shared" si="81"/>
        <v>60</v>
      </c>
      <c r="B2522" t="str">
        <f>"60.0704"</f>
        <v>60.0704</v>
      </c>
      <c r="C2522" t="s">
        <v>47</v>
      </c>
      <c r="D2522" t="s">
        <v>12</v>
      </c>
      <c r="E2522" t="s">
        <v>5563</v>
      </c>
      <c r="F2522" t="s">
        <v>5564</v>
      </c>
    </row>
    <row r="2523" spans="1:6" x14ac:dyDescent="0.55000000000000004">
      <c r="A2523" t="str">
        <f t="shared" si="81"/>
        <v>60</v>
      </c>
      <c r="B2523" t="str">
        <f>"60.0705"</f>
        <v>60.0705</v>
      </c>
      <c r="C2523" t="s">
        <v>47</v>
      </c>
      <c r="D2523" t="s">
        <v>12</v>
      </c>
      <c r="E2523" t="s">
        <v>5565</v>
      </c>
      <c r="F2523" t="s">
        <v>5566</v>
      </c>
    </row>
    <row r="2524" spans="1:6" x14ac:dyDescent="0.55000000000000004">
      <c r="A2524" t="str">
        <f t="shared" si="81"/>
        <v>60</v>
      </c>
      <c r="B2524" t="str">
        <f>"60.0706"</f>
        <v>60.0706</v>
      </c>
      <c r="C2524" t="s">
        <v>47</v>
      </c>
      <c r="D2524" t="s">
        <v>12</v>
      </c>
      <c r="E2524" t="s">
        <v>5567</v>
      </c>
      <c r="F2524" t="s">
        <v>5568</v>
      </c>
    </row>
    <row r="2525" spans="1:6" x14ac:dyDescent="0.55000000000000004">
      <c r="A2525" t="str">
        <f t="shared" si="81"/>
        <v>60</v>
      </c>
      <c r="B2525" t="str">
        <f>"60.0707"</f>
        <v>60.0707</v>
      </c>
      <c r="C2525" t="s">
        <v>47</v>
      </c>
      <c r="D2525" t="s">
        <v>12</v>
      </c>
      <c r="E2525" t="s">
        <v>5569</v>
      </c>
      <c r="F2525" t="s">
        <v>5570</v>
      </c>
    </row>
    <row r="2526" spans="1:6" x14ac:dyDescent="0.55000000000000004">
      <c r="A2526" t="str">
        <f t="shared" si="81"/>
        <v>60</v>
      </c>
      <c r="B2526" t="str">
        <f>"60.0708"</f>
        <v>60.0708</v>
      </c>
      <c r="C2526" t="s">
        <v>47</v>
      </c>
      <c r="D2526" t="s">
        <v>12</v>
      </c>
      <c r="E2526" t="s">
        <v>5571</v>
      </c>
      <c r="F2526" t="s">
        <v>5572</v>
      </c>
    </row>
    <row r="2527" spans="1:6" x14ac:dyDescent="0.55000000000000004">
      <c r="A2527" t="str">
        <f t="shared" si="81"/>
        <v>60</v>
      </c>
      <c r="B2527" t="str">
        <f>"60.0709"</f>
        <v>60.0709</v>
      </c>
      <c r="C2527" t="s">
        <v>47</v>
      </c>
      <c r="D2527" t="s">
        <v>12</v>
      </c>
      <c r="E2527" t="s">
        <v>5573</v>
      </c>
      <c r="F2527" t="s">
        <v>5574</v>
      </c>
    </row>
    <row r="2528" spans="1:6" x14ac:dyDescent="0.55000000000000004">
      <c r="A2528" t="str">
        <f t="shared" si="81"/>
        <v>60</v>
      </c>
      <c r="B2528" t="str">
        <f>"60.0710"</f>
        <v>60.0710</v>
      </c>
      <c r="C2528" t="s">
        <v>47</v>
      </c>
      <c r="D2528" t="s">
        <v>12</v>
      </c>
      <c r="E2528" t="s">
        <v>5575</v>
      </c>
      <c r="F2528" t="s">
        <v>5576</v>
      </c>
    </row>
    <row r="2529" spans="1:6" x14ac:dyDescent="0.55000000000000004">
      <c r="A2529" t="str">
        <f t="shared" si="81"/>
        <v>60</v>
      </c>
      <c r="B2529" t="str">
        <f>"60.0711"</f>
        <v>60.0711</v>
      </c>
      <c r="C2529" t="s">
        <v>47</v>
      </c>
      <c r="D2529" t="s">
        <v>12</v>
      </c>
      <c r="E2529" t="s">
        <v>5577</v>
      </c>
      <c r="F2529" t="s">
        <v>5578</v>
      </c>
    </row>
    <row r="2530" spans="1:6" x14ac:dyDescent="0.55000000000000004">
      <c r="A2530" t="str">
        <f t="shared" si="81"/>
        <v>60</v>
      </c>
      <c r="B2530" t="str">
        <f>"60.0712"</f>
        <v>60.0712</v>
      </c>
      <c r="C2530" t="s">
        <v>47</v>
      </c>
      <c r="D2530" t="s">
        <v>12</v>
      </c>
      <c r="E2530" t="s">
        <v>5579</v>
      </c>
      <c r="F2530" t="s">
        <v>5580</v>
      </c>
    </row>
    <row r="2531" spans="1:6" x14ac:dyDescent="0.55000000000000004">
      <c r="A2531" t="str">
        <f t="shared" si="81"/>
        <v>60</v>
      </c>
      <c r="B2531" t="str">
        <f>"60.0713"</f>
        <v>60.0713</v>
      </c>
      <c r="C2531" t="s">
        <v>47</v>
      </c>
      <c r="D2531" t="s">
        <v>12</v>
      </c>
      <c r="E2531" t="s">
        <v>5581</v>
      </c>
      <c r="F2531" t="s">
        <v>5582</v>
      </c>
    </row>
    <row r="2532" spans="1:6" x14ac:dyDescent="0.55000000000000004">
      <c r="A2532" t="str">
        <f t="shared" si="81"/>
        <v>60</v>
      </c>
      <c r="B2532" t="str">
        <f>"60.0714"</f>
        <v>60.0714</v>
      </c>
      <c r="C2532" t="s">
        <v>47</v>
      </c>
      <c r="D2532" t="s">
        <v>12</v>
      </c>
      <c r="E2532" t="s">
        <v>5583</v>
      </c>
      <c r="F2532" t="s">
        <v>5584</v>
      </c>
    </row>
    <row r="2533" spans="1:6" x14ac:dyDescent="0.55000000000000004">
      <c r="A2533" t="str">
        <f t="shared" si="81"/>
        <v>60</v>
      </c>
      <c r="B2533" t="str">
        <f>"60.0715"</f>
        <v>60.0715</v>
      </c>
      <c r="C2533" t="s">
        <v>47</v>
      </c>
      <c r="D2533" t="s">
        <v>12</v>
      </c>
      <c r="E2533" t="s">
        <v>5585</v>
      </c>
      <c r="F2533" t="s">
        <v>5586</v>
      </c>
    </row>
    <row r="2534" spans="1:6" x14ac:dyDescent="0.55000000000000004">
      <c r="A2534" t="str">
        <f t="shared" si="81"/>
        <v>60</v>
      </c>
      <c r="B2534" t="str">
        <f>"60.0716"</f>
        <v>60.0716</v>
      </c>
      <c r="C2534" t="s">
        <v>47</v>
      </c>
      <c r="D2534" t="s">
        <v>12</v>
      </c>
      <c r="E2534" t="s">
        <v>5587</v>
      </c>
      <c r="F2534" t="s">
        <v>5588</v>
      </c>
    </row>
    <row r="2535" spans="1:6" x14ac:dyDescent="0.55000000000000004">
      <c r="A2535" t="str">
        <f t="shared" si="81"/>
        <v>60</v>
      </c>
      <c r="B2535" t="str">
        <f>"60.0717"</f>
        <v>60.0717</v>
      </c>
      <c r="C2535" t="s">
        <v>47</v>
      </c>
      <c r="D2535" t="s">
        <v>12</v>
      </c>
      <c r="E2535" t="s">
        <v>5589</v>
      </c>
      <c r="F2535" t="s">
        <v>5590</v>
      </c>
    </row>
    <row r="2536" spans="1:6" x14ac:dyDescent="0.55000000000000004">
      <c r="A2536" t="str">
        <f t="shared" si="81"/>
        <v>60</v>
      </c>
      <c r="B2536" t="str">
        <f>"60.0718"</f>
        <v>60.0718</v>
      </c>
      <c r="C2536" t="s">
        <v>47</v>
      </c>
      <c r="D2536" t="s">
        <v>12</v>
      </c>
      <c r="E2536" t="s">
        <v>5591</v>
      </c>
      <c r="F2536" t="s">
        <v>5592</v>
      </c>
    </row>
    <row r="2537" spans="1:6" x14ac:dyDescent="0.55000000000000004">
      <c r="A2537" t="str">
        <f t="shared" si="81"/>
        <v>60</v>
      </c>
      <c r="B2537" t="str">
        <f>"60.0719"</f>
        <v>60.0719</v>
      </c>
      <c r="C2537" t="s">
        <v>47</v>
      </c>
      <c r="D2537" t="s">
        <v>12</v>
      </c>
      <c r="E2537" t="s">
        <v>5593</v>
      </c>
      <c r="F2537" t="s">
        <v>5594</v>
      </c>
    </row>
    <row r="2538" spans="1:6" x14ac:dyDescent="0.55000000000000004">
      <c r="A2538" t="str">
        <f t="shared" si="81"/>
        <v>60</v>
      </c>
      <c r="B2538" t="str">
        <f>"60.0720"</f>
        <v>60.0720</v>
      </c>
      <c r="C2538" t="s">
        <v>47</v>
      </c>
      <c r="D2538" t="s">
        <v>12</v>
      </c>
      <c r="E2538" t="s">
        <v>5595</v>
      </c>
      <c r="F2538" t="s">
        <v>5596</v>
      </c>
    </row>
    <row r="2539" spans="1:6" x14ac:dyDescent="0.55000000000000004">
      <c r="A2539" t="str">
        <f t="shared" si="81"/>
        <v>60</v>
      </c>
      <c r="B2539" t="str">
        <f>"60.0721"</f>
        <v>60.0721</v>
      </c>
      <c r="C2539" t="s">
        <v>47</v>
      </c>
      <c r="D2539" t="s">
        <v>12</v>
      </c>
      <c r="E2539" t="s">
        <v>5597</v>
      </c>
      <c r="F2539" t="s">
        <v>5598</v>
      </c>
    </row>
    <row r="2540" spans="1:6" x14ac:dyDescent="0.55000000000000004">
      <c r="A2540" t="str">
        <f t="shared" si="81"/>
        <v>60</v>
      </c>
      <c r="B2540" t="str">
        <f>"60.0722"</f>
        <v>60.0722</v>
      </c>
      <c r="C2540" t="s">
        <v>47</v>
      </c>
      <c r="D2540" t="s">
        <v>12</v>
      </c>
      <c r="E2540" t="s">
        <v>5599</v>
      </c>
      <c r="F2540" t="s">
        <v>5600</v>
      </c>
    </row>
    <row r="2541" spans="1:6" x14ac:dyDescent="0.55000000000000004">
      <c r="A2541" t="str">
        <f t="shared" si="81"/>
        <v>60</v>
      </c>
      <c r="B2541" t="str">
        <f>"60.0723"</f>
        <v>60.0723</v>
      </c>
      <c r="C2541" t="s">
        <v>47</v>
      </c>
      <c r="D2541" t="s">
        <v>12</v>
      </c>
      <c r="E2541" t="s">
        <v>5601</v>
      </c>
      <c r="F2541" t="s">
        <v>5602</v>
      </c>
    </row>
    <row r="2542" spans="1:6" x14ac:dyDescent="0.55000000000000004">
      <c r="A2542" t="str">
        <f t="shared" si="81"/>
        <v>60</v>
      </c>
      <c r="B2542" t="str">
        <f>"60.0724"</f>
        <v>60.0724</v>
      </c>
      <c r="C2542" t="s">
        <v>47</v>
      </c>
      <c r="D2542" t="s">
        <v>12</v>
      </c>
      <c r="E2542" t="s">
        <v>5603</v>
      </c>
      <c r="F2542" t="s">
        <v>5604</v>
      </c>
    </row>
    <row r="2543" spans="1:6" x14ac:dyDescent="0.55000000000000004">
      <c r="A2543" t="str">
        <f t="shared" si="81"/>
        <v>60</v>
      </c>
      <c r="B2543" t="str">
        <f>"60.0725"</f>
        <v>60.0725</v>
      </c>
      <c r="C2543" t="s">
        <v>47</v>
      </c>
      <c r="D2543" t="s">
        <v>12</v>
      </c>
      <c r="E2543" t="s">
        <v>5605</v>
      </c>
      <c r="F2543" t="s">
        <v>5606</v>
      </c>
    </row>
    <row r="2544" spans="1:6" x14ac:dyDescent="0.55000000000000004">
      <c r="A2544" t="str">
        <f t="shared" si="81"/>
        <v>60</v>
      </c>
      <c r="B2544" t="str">
        <f>"60.0726"</f>
        <v>60.0726</v>
      </c>
      <c r="C2544" t="s">
        <v>47</v>
      </c>
      <c r="D2544" t="s">
        <v>12</v>
      </c>
      <c r="E2544" t="s">
        <v>5607</v>
      </c>
      <c r="F2544" t="s">
        <v>5608</v>
      </c>
    </row>
    <row r="2545" spans="1:6" x14ac:dyDescent="0.55000000000000004">
      <c r="A2545" t="str">
        <f t="shared" si="81"/>
        <v>60</v>
      </c>
      <c r="B2545" t="str">
        <f>"60.0727"</f>
        <v>60.0727</v>
      </c>
      <c r="C2545" t="s">
        <v>47</v>
      </c>
      <c r="D2545" t="s">
        <v>12</v>
      </c>
      <c r="E2545" t="s">
        <v>5609</v>
      </c>
      <c r="F2545" t="s">
        <v>5610</v>
      </c>
    </row>
    <row r="2546" spans="1:6" x14ac:dyDescent="0.55000000000000004">
      <c r="A2546" t="str">
        <f t="shared" si="81"/>
        <v>60</v>
      </c>
      <c r="B2546" t="str">
        <f>"60.0728"</f>
        <v>60.0728</v>
      </c>
      <c r="C2546" t="s">
        <v>47</v>
      </c>
      <c r="D2546" t="s">
        <v>12</v>
      </c>
      <c r="E2546" t="s">
        <v>5611</v>
      </c>
      <c r="F2546" t="s">
        <v>5612</v>
      </c>
    </row>
    <row r="2547" spans="1:6" x14ac:dyDescent="0.55000000000000004">
      <c r="A2547" t="str">
        <f t="shared" si="81"/>
        <v>60</v>
      </c>
      <c r="B2547" t="str">
        <f>"60.0729"</f>
        <v>60.0729</v>
      </c>
      <c r="C2547" t="s">
        <v>47</v>
      </c>
      <c r="D2547" t="s">
        <v>12</v>
      </c>
      <c r="E2547" t="s">
        <v>5613</v>
      </c>
      <c r="F2547" t="s">
        <v>5614</v>
      </c>
    </row>
    <row r="2548" spans="1:6" x14ac:dyDescent="0.55000000000000004">
      <c r="A2548" t="str">
        <f t="shared" si="81"/>
        <v>60</v>
      </c>
      <c r="B2548" t="str">
        <f>"60.0730"</f>
        <v>60.0730</v>
      </c>
      <c r="C2548" t="s">
        <v>47</v>
      </c>
      <c r="D2548" t="s">
        <v>12</v>
      </c>
      <c r="E2548" t="s">
        <v>5615</v>
      </c>
      <c r="F2548" t="s">
        <v>5616</v>
      </c>
    </row>
    <row r="2549" spans="1:6" x14ac:dyDescent="0.55000000000000004">
      <c r="A2549" t="str">
        <f t="shared" si="81"/>
        <v>60</v>
      </c>
      <c r="B2549" t="str">
        <f>"60.0731"</f>
        <v>60.0731</v>
      </c>
      <c r="C2549" t="s">
        <v>47</v>
      </c>
      <c r="D2549" t="s">
        <v>12</v>
      </c>
      <c r="E2549" t="s">
        <v>5617</v>
      </c>
      <c r="F2549" t="s">
        <v>5618</v>
      </c>
    </row>
    <row r="2550" spans="1:6" x14ac:dyDescent="0.55000000000000004">
      <c r="A2550" t="str">
        <f t="shared" si="81"/>
        <v>60</v>
      </c>
      <c r="B2550" t="str">
        <f>"60.0732"</f>
        <v>60.0732</v>
      </c>
      <c r="C2550" t="s">
        <v>47</v>
      </c>
      <c r="D2550" t="s">
        <v>12</v>
      </c>
      <c r="E2550" t="s">
        <v>5619</v>
      </c>
      <c r="F2550" t="s">
        <v>5620</v>
      </c>
    </row>
    <row r="2551" spans="1:6" x14ac:dyDescent="0.55000000000000004">
      <c r="A2551" t="str">
        <f t="shared" ref="A2551:A2614" si="82">"60"</f>
        <v>60</v>
      </c>
      <c r="B2551" t="str">
        <f>"60.0733"</f>
        <v>60.0733</v>
      </c>
      <c r="C2551" t="s">
        <v>47</v>
      </c>
      <c r="D2551" t="s">
        <v>12</v>
      </c>
      <c r="E2551" t="s">
        <v>5621</v>
      </c>
      <c r="F2551" t="s">
        <v>5622</v>
      </c>
    </row>
    <row r="2552" spans="1:6" x14ac:dyDescent="0.55000000000000004">
      <c r="A2552" t="str">
        <f t="shared" si="82"/>
        <v>60</v>
      </c>
      <c r="B2552" t="str">
        <f>"60.0734"</f>
        <v>60.0734</v>
      </c>
      <c r="C2552" t="s">
        <v>47</v>
      </c>
      <c r="D2552" t="s">
        <v>12</v>
      </c>
      <c r="E2552" t="s">
        <v>5623</v>
      </c>
      <c r="F2552" t="s">
        <v>5624</v>
      </c>
    </row>
    <row r="2553" spans="1:6" x14ac:dyDescent="0.55000000000000004">
      <c r="A2553" t="str">
        <f t="shared" si="82"/>
        <v>60</v>
      </c>
      <c r="B2553" t="str">
        <f>"60.0735"</f>
        <v>60.0735</v>
      </c>
      <c r="C2553" t="s">
        <v>47</v>
      </c>
      <c r="D2553" t="s">
        <v>12</v>
      </c>
      <c r="E2553" t="s">
        <v>5625</v>
      </c>
      <c r="F2553" t="s">
        <v>5626</v>
      </c>
    </row>
    <row r="2554" spans="1:6" x14ac:dyDescent="0.55000000000000004">
      <c r="A2554" t="str">
        <f t="shared" si="82"/>
        <v>60</v>
      </c>
      <c r="B2554" t="str">
        <f>"60.0736"</f>
        <v>60.0736</v>
      </c>
      <c r="C2554" t="s">
        <v>47</v>
      </c>
      <c r="D2554" t="s">
        <v>12</v>
      </c>
      <c r="E2554" t="s">
        <v>5627</v>
      </c>
      <c r="F2554" t="s">
        <v>5628</v>
      </c>
    </row>
    <row r="2555" spans="1:6" x14ac:dyDescent="0.55000000000000004">
      <c r="A2555" t="str">
        <f t="shared" si="82"/>
        <v>60</v>
      </c>
      <c r="B2555" t="str">
        <f>"60.0737"</f>
        <v>60.0737</v>
      </c>
      <c r="C2555" t="s">
        <v>47</v>
      </c>
      <c r="D2555" t="s">
        <v>12</v>
      </c>
      <c r="E2555" t="s">
        <v>5629</v>
      </c>
      <c r="F2555" t="s">
        <v>5630</v>
      </c>
    </row>
    <row r="2556" spans="1:6" x14ac:dyDescent="0.55000000000000004">
      <c r="A2556" t="str">
        <f t="shared" si="82"/>
        <v>60</v>
      </c>
      <c r="B2556" t="str">
        <f>"60.0738"</f>
        <v>60.0738</v>
      </c>
      <c r="C2556" t="s">
        <v>47</v>
      </c>
      <c r="D2556" t="s">
        <v>12</v>
      </c>
      <c r="E2556" t="s">
        <v>5631</v>
      </c>
      <c r="F2556" t="s">
        <v>5632</v>
      </c>
    </row>
    <row r="2557" spans="1:6" x14ac:dyDescent="0.55000000000000004">
      <c r="A2557" t="str">
        <f t="shared" si="82"/>
        <v>60</v>
      </c>
      <c r="B2557" t="str">
        <f>"60.0739"</f>
        <v>60.0739</v>
      </c>
      <c r="C2557" t="s">
        <v>47</v>
      </c>
      <c r="D2557" t="s">
        <v>12</v>
      </c>
      <c r="E2557" t="s">
        <v>5633</v>
      </c>
      <c r="F2557" t="s">
        <v>5634</v>
      </c>
    </row>
    <row r="2558" spans="1:6" x14ac:dyDescent="0.55000000000000004">
      <c r="A2558" t="str">
        <f t="shared" si="82"/>
        <v>60</v>
      </c>
      <c r="B2558" t="str">
        <f>"60.0740"</f>
        <v>60.0740</v>
      </c>
      <c r="C2558" t="s">
        <v>47</v>
      </c>
      <c r="D2558" t="s">
        <v>12</v>
      </c>
      <c r="E2558" t="s">
        <v>5635</v>
      </c>
      <c r="F2558" t="s">
        <v>5636</v>
      </c>
    </row>
    <row r="2559" spans="1:6" x14ac:dyDescent="0.55000000000000004">
      <c r="A2559" t="str">
        <f t="shared" si="82"/>
        <v>60</v>
      </c>
      <c r="B2559" t="str">
        <f>"60.0741"</f>
        <v>60.0741</v>
      </c>
      <c r="C2559" t="s">
        <v>47</v>
      </c>
      <c r="D2559" t="s">
        <v>12</v>
      </c>
      <c r="E2559" t="s">
        <v>5637</v>
      </c>
      <c r="F2559" t="s">
        <v>5638</v>
      </c>
    </row>
    <row r="2560" spans="1:6" x14ac:dyDescent="0.55000000000000004">
      <c r="A2560" t="str">
        <f t="shared" si="82"/>
        <v>60</v>
      </c>
      <c r="B2560" t="str">
        <f>"60.0742"</f>
        <v>60.0742</v>
      </c>
      <c r="C2560" t="s">
        <v>47</v>
      </c>
      <c r="D2560" t="s">
        <v>12</v>
      </c>
      <c r="E2560" t="s">
        <v>5639</v>
      </c>
      <c r="F2560" t="s">
        <v>5640</v>
      </c>
    </row>
    <row r="2561" spans="1:8" x14ac:dyDescent="0.55000000000000004">
      <c r="A2561" t="str">
        <f t="shared" si="82"/>
        <v>60</v>
      </c>
      <c r="B2561" t="str">
        <f>"60.0743"</f>
        <v>60.0743</v>
      </c>
      <c r="C2561" t="s">
        <v>47</v>
      </c>
      <c r="D2561" t="s">
        <v>12</v>
      </c>
      <c r="E2561" t="s">
        <v>5641</v>
      </c>
      <c r="F2561" t="s">
        <v>5642</v>
      </c>
    </row>
    <row r="2562" spans="1:8" x14ac:dyDescent="0.55000000000000004">
      <c r="A2562" t="str">
        <f t="shared" si="82"/>
        <v>60</v>
      </c>
      <c r="B2562" t="str">
        <f>"60.0744"</f>
        <v>60.0744</v>
      </c>
      <c r="C2562" t="s">
        <v>47</v>
      </c>
      <c r="D2562" t="s">
        <v>12</v>
      </c>
      <c r="E2562" t="s">
        <v>5643</v>
      </c>
      <c r="F2562" t="s">
        <v>5644</v>
      </c>
    </row>
    <row r="2563" spans="1:8" x14ac:dyDescent="0.55000000000000004">
      <c r="A2563" t="str">
        <f t="shared" si="82"/>
        <v>60</v>
      </c>
      <c r="B2563" t="str">
        <f>"60.0745"</f>
        <v>60.0745</v>
      </c>
      <c r="C2563" t="s">
        <v>47</v>
      </c>
      <c r="D2563" t="s">
        <v>12</v>
      </c>
      <c r="E2563" t="s">
        <v>5645</v>
      </c>
      <c r="F2563" t="s">
        <v>5646</v>
      </c>
    </row>
    <row r="2564" spans="1:8" x14ac:dyDescent="0.55000000000000004">
      <c r="A2564" t="str">
        <f t="shared" si="82"/>
        <v>60</v>
      </c>
      <c r="B2564" t="str">
        <f>"60.0746"</f>
        <v>60.0746</v>
      </c>
      <c r="C2564" t="s">
        <v>47</v>
      </c>
      <c r="D2564" t="s">
        <v>12</v>
      </c>
      <c r="E2564" t="s">
        <v>5647</v>
      </c>
      <c r="F2564" t="s">
        <v>5648</v>
      </c>
    </row>
    <row r="2565" spans="1:8" x14ac:dyDescent="0.55000000000000004">
      <c r="A2565" t="str">
        <f t="shared" si="82"/>
        <v>60</v>
      </c>
      <c r="B2565" t="str">
        <f>"60.0747"</f>
        <v>60.0747</v>
      </c>
      <c r="C2565" t="s">
        <v>47</v>
      </c>
      <c r="D2565" t="s">
        <v>12</v>
      </c>
      <c r="E2565" t="s">
        <v>5649</v>
      </c>
      <c r="F2565" t="s">
        <v>5650</v>
      </c>
    </row>
    <row r="2566" spans="1:8" x14ac:dyDescent="0.55000000000000004">
      <c r="A2566" t="str">
        <f t="shared" si="82"/>
        <v>60</v>
      </c>
      <c r="B2566" t="str">
        <f>"60.0748"</f>
        <v>60.0748</v>
      </c>
      <c r="C2566" t="s">
        <v>47</v>
      </c>
      <c r="D2566" t="s">
        <v>12</v>
      </c>
      <c r="E2566" t="s">
        <v>5651</v>
      </c>
      <c r="F2566" t="s">
        <v>5652</v>
      </c>
    </row>
    <row r="2567" spans="1:8" x14ac:dyDescent="0.55000000000000004">
      <c r="A2567" t="str">
        <f t="shared" si="82"/>
        <v>60</v>
      </c>
      <c r="B2567" t="str">
        <f>"60.0749"</f>
        <v>60.0749</v>
      </c>
      <c r="C2567" t="s">
        <v>47</v>
      </c>
      <c r="D2567" t="s">
        <v>12</v>
      </c>
      <c r="E2567" t="s">
        <v>5653</v>
      </c>
      <c r="F2567" t="s">
        <v>5654</v>
      </c>
    </row>
    <row r="2568" spans="1:8" x14ac:dyDescent="0.55000000000000004">
      <c r="A2568" t="str">
        <f t="shared" si="82"/>
        <v>60</v>
      </c>
      <c r="B2568" t="str">
        <f>"60.0750"</f>
        <v>60.0750</v>
      </c>
      <c r="C2568" t="s">
        <v>47</v>
      </c>
      <c r="D2568" t="s">
        <v>12</v>
      </c>
      <c r="E2568" t="s">
        <v>5655</v>
      </c>
      <c r="F2568" t="s">
        <v>5656</v>
      </c>
    </row>
    <row r="2569" spans="1:8" x14ac:dyDescent="0.55000000000000004">
      <c r="A2569" t="str">
        <f t="shared" si="82"/>
        <v>60</v>
      </c>
      <c r="B2569" t="str">
        <f>"60.0751"</f>
        <v>60.0751</v>
      </c>
      <c r="C2569" t="s">
        <v>47</v>
      </c>
      <c r="D2569" t="s">
        <v>12</v>
      </c>
      <c r="E2569" t="s">
        <v>5657</v>
      </c>
      <c r="F2569" t="s">
        <v>5658</v>
      </c>
    </row>
    <row r="2570" spans="1:8" x14ac:dyDescent="0.55000000000000004">
      <c r="A2570" t="str">
        <f t="shared" si="82"/>
        <v>60</v>
      </c>
      <c r="B2570" t="str">
        <f>"60.0799"</f>
        <v>60.0799</v>
      </c>
      <c r="C2570" t="s">
        <v>47</v>
      </c>
      <c r="D2570" t="s">
        <v>12</v>
      </c>
      <c r="E2570" t="s">
        <v>5659</v>
      </c>
      <c r="F2570" t="s">
        <v>5660</v>
      </c>
    </row>
    <row r="2571" spans="1:8" x14ac:dyDescent="0.55000000000000004">
      <c r="A2571" t="str">
        <f t="shared" si="82"/>
        <v>60</v>
      </c>
      <c r="B2571" t="str">
        <f>"60.08"</f>
        <v>60.08</v>
      </c>
      <c r="C2571" t="s">
        <v>47</v>
      </c>
      <c r="D2571" t="s">
        <v>12</v>
      </c>
      <c r="E2571" t="s">
        <v>5661</v>
      </c>
      <c r="F2571" t="s">
        <v>5662</v>
      </c>
    </row>
    <row r="2572" spans="1:8" x14ac:dyDescent="0.55000000000000004">
      <c r="A2572" t="str">
        <f t="shared" si="82"/>
        <v>60</v>
      </c>
      <c r="B2572" t="str">
        <f>"60.0801"</f>
        <v>60.0801</v>
      </c>
      <c r="C2572" t="s">
        <v>47</v>
      </c>
      <c r="D2572" t="s">
        <v>12</v>
      </c>
      <c r="E2572" t="s">
        <v>5663</v>
      </c>
      <c r="F2572" t="s">
        <v>5664</v>
      </c>
    </row>
    <row r="2573" spans="1:8" x14ac:dyDescent="0.55000000000000004">
      <c r="A2573" t="str">
        <f t="shared" si="82"/>
        <v>60</v>
      </c>
      <c r="B2573" t="str">
        <f>"60.0802"</f>
        <v>60.0802</v>
      </c>
      <c r="C2573" t="s">
        <v>47</v>
      </c>
      <c r="D2573" t="s">
        <v>12</v>
      </c>
      <c r="E2573" t="s">
        <v>5665</v>
      </c>
      <c r="F2573" t="s">
        <v>5666</v>
      </c>
    </row>
    <row r="2574" spans="1:8" x14ac:dyDescent="0.55000000000000004">
      <c r="A2574" t="str">
        <f t="shared" si="82"/>
        <v>60</v>
      </c>
      <c r="B2574" t="str">
        <f>"60.0803"</f>
        <v>60.0803</v>
      </c>
      <c r="C2574" t="s">
        <v>47</v>
      </c>
      <c r="D2574" t="s">
        <v>12</v>
      </c>
      <c r="E2574" t="s">
        <v>5667</v>
      </c>
      <c r="F2574" t="s">
        <v>5668</v>
      </c>
    </row>
    <row r="2575" spans="1:8" x14ac:dyDescent="0.55000000000000004">
      <c r="A2575" t="str">
        <f t="shared" si="82"/>
        <v>60</v>
      </c>
      <c r="B2575" t="str">
        <f>"60.0804"</f>
        <v>60.0804</v>
      </c>
      <c r="C2575" t="s">
        <v>47</v>
      </c>
      <c r="D2575" t="s">
        <v>12</v>
      </c>
      <c r="E2575" t="s">
        <v>5669</v>
      </c>
      <c r="F2575" t="s">
        <v>5670</v>
      </c>
    </row>
    <row r="2576" spans="1:8" x14ac:dyDescent="0.55000000000000004">
      <c r="A2576" t="str">
        <f t="shared" si="82"/>
        <v>60</v>
      </c>
      <c r="B2576" t="str">
        <f>"60.0805"</f>
        <v>60.0805</v>
      </c>
      <c r="C2576" t="s">
        <v>47</v>
      </c>
      <c r="D2576" t="s">
        <v>12</v>
      </c>
      <c r="E2576" t="s">
        <v>5671</v>
      </c>
      <c r="F2576" t="s">
        <v>5672</v>
      </c>
      <c r="H2576" t="s">
        <v>5673</v>
      </c>
    </row>
    <row r="2577" spans="1:8" x14ac:dyDescent="0.55000000000000004">
      <c r="A2577" t="str">
        <f t="shared" si="82"/>
        <v>60</v>
      </c>
      <c r="B2577" t="str">
        <f>"60.0806"</f>
        <v>60.0806</v>
      </c>
      <c r="C2577" t="s">
        <v>47</v>
      </c>
      <c r="D2577" t="s">
        <v>12</v>
      </c>
      <c r="E2577" t="s">
        <v>5674</v>
      </c>
      <c r="F2577" t="s">
        <v>5675</v>
      </c>
    </row>
    <row r="2578" spans="1:8" x14ac:dyDescent="0.55000000000000004">
      <c r="A2578" t="str">
        <f t="shared" si="82"/>
        <v>60</v>
      </c>
      <c r="B2578" t="str">
        <f>"60.0807"</f>
        <v>60.0807</v>
      </c>
      <c r="C2578" t="s">
        <v>47</v>
      </c>
      <c r="D2578" t="s">
        <v>12</v>
      </c>
      <c r="E2578" t="s">
        <v>5676</v>
      </c>
      <c r="F2578" t="s">
        <v>5677</v>
      </c>
    </row>
    <row r="2579" spans="1:8" x14ac:dyDescent="0.55000000000000004">
      <c r="A2579" t="str">
        <f t="shared" si="82"/>
        <v>60</v>
      </c>
      <c r="B2579" t="str">
        <f>"60.0808"</f>
        <v>60.0808</v>
      </c>
      <c r="C2579" t="s">
        <v>47</v>
      </c>
      <c r="D2579" t="s">
        <v>12</v>
      </c>
      <c r="E2579" t="s">
        <v>5678</v>
      </c>
      <c r="F2579" t="s">
        <v>5679</v>
      </c>
    </row>
    <row r="2580" spans="1:8" x14ac:dyDescent="0.55000000000000004">
      <c r="A2580" t="str">
        <f t="shared" si="82"/>
        <v>60</v>
      </c>
      <c r="B2580" t="str">
        <f>"60.0809"</f>
        <v>60.0809</v>
      </c>
      <c r="C2580" t="s">
        <v>47</v>
      </c>
      <c r="D2580" t="s">
        <v>12</v>
      </c>
      <c r="E2580" t="s">
        <v>5680</v>
      </c>
      <c r="F2580" t="s">
        <v>5681</v>
      </c>
    </row>
    <row r="2581" spans="1:8" x14ac:dyDescent="0.55000000000000004">
      <c r="A2581" t="str">
        <f t="shared" si="82"/>
        <v>60</v>
      </c>
      <c r="B2581" t="str">
        <f>"60.0810"</f>
        <v>60.0810</v>
      </c>
      <c r="C2581" t="s">
        <v>47</v>
      </c>
      <c r="D2581" t="s">
        <v>12</v>
      </c>
      <c r="E2581" t="s">
        <v>5682</v>
      </c>
      <c r="F2581" t="s">
        <v>5683</v>
      </c>
    </row>
    <row r="2582" spans="1:8" x14ac:dyDescent="0.55000000000000004">
      <c r="A2582" t="str">
        <f t="shared" si="82"/>
        <v>60</v>
      </c>
      <c r="B2582" t="str">
        <f>"60.0811"</f>
        <v>60.0811</v>
      </c>
      <c r="C2582" t="s">
        <v>47</v>
      </c>
      <c r="D2582" t="s">
        <v>12</v>
      </c>
      <c r="E2582" t="s">
        <v>5684</v>
      </c>
      <c r="F2582" t="s">
        <v>5685</v>
      </c>
    </row>
    <row r="2583" spans="1:8" x14ac:dyDescent="0.55000000000000004">
      <c r="A2583" t="str">
        <f t="shared" si="82"/>
        <v>60</v>
      </c>
      <c r="B2583" t="str">
        <f>"60.0812"</f>
        <v>60.0812</v>
      </c>
      <c r="C2583" t="s">
        <v>47</v>
      </c>
      <c r="D2583" t="s">
        <v>12</v>
      </c>
      <c r="E2583" t="s">
        <v>5686</v>
      </c>
      <c r="F2583" t="s">
        <v>5687</v>
      </c>
    </row>
    <row r="2584" spans="1:8" x14ac:dyDescent="0.55000000000000004">
      <c r="A2584" t="str">
        <f t="shared" si="82"/>
        <v>60</v>
      </c>
      <c r="B2584" t="str">
        <f>"60.0813"</f>
        <v>60.0813</v>
      </c>
      <c r="C2584" t="s">
        <v>47</v>
      </c>
      <c r="D2584" t="s">
        <v>12</v>
      </c>
      <c r="E2584" t="s">
        <v>5688</v>
      </c>
      <c r="F2584" t="s">
        <v>5689</v>
      </c>
    </row>
    <row r="2585" spans="1:8" x14ac:dyDescent="0.55000000000000004">
      <c r="A2585" t="str">
        <f t="shared" si="82"/>
        <v>60</v>
      </c>
      <c r="B2585" t="str">
        <f>"60.0814"</f>
        <v>60.0814</v>
      </c>
      <c r="C2585" t="s">
        <v>47</v>
      </c>
      <c r="D2585" t="s">
        <v>12</v>
      </c>
      <c r="E2585" t="s">
        <v>5690</v>
      </c>
      <c r="F2585" t="s">
        <v>5691</v>
      </c>
    </row>
    <row r="2586" spans="1:8" x14ac:dyDescent="0.55000000000000004">
      <c r="A2586" t="str">
        <f t="shared" si="82"/>
        <v>60</v>
      </c>
      <c r="B2586" t="str">
        <f>"60.0815"</f>
        <v>60.0815</v>
      </c>
      <c r="C2586" t="s">
        <v>47</v>
      </c>
      <c r="D2586" t="s">
        <v>12</v>
      </c>
      <c r="E2586" t="s">
        <v>5692</v>
      </c>
      <c r="F2586" t="s">
        <v>5693</v>
      </c>
      <c r="H2586" t="s">
        <v>5694</v>
      </c>
    </row>
    <row r="2587" spans="1:8" x14ac:dyDescent="0.55000000000000004">
      <c r="A2587" t="str">
        <f t="shared" si="82"/>
        <v>60</v>
      </c>
      <c r="B2587" t="str">
        <f>"60.0816"</f>
        <v>60.0816</v>
      </c>
      <c r="C2587" t="s">
        <v>47</v>
      </c>
      <c r="D2587" t="s">
        <v>12</v>
      </c>
      <c r="E2587" t="s">
        <v>5695</v>
      </c>
      <c r="F2587" t="s">
        <v>5696</v>
      </c>
    </row>
    <row r="2588" spans="1:8" x14ac:dyDescent="0.55000000000000004">
      <c r="A2588" t="str">
        <f t="shared" si="82"/>
        <v>60</v>
      </c>
      <c r="B2588" t="str">
        <f>"60.0817"</f>
        <v>60.0817</v>
      </c>
      <c r="C2588" t="s">
        <v>47</v>
      </c>
      <c r="D2588" t="s">
        <v>12</v>
      </c>
      <c r="E2588" t="s">
        <v>5697</v>
      </c>
      <c r="F2588" t="s">
        <v>5698</v>
      </c>
    </row>
    <row r="2589" spans="1:8" x14ac:dyDescent="0.55000000000000004">
      <c r="A2589" t="str">
        <f t="shared" si="82"/>
        <v>60</v>
      </c>
      <c r="B2589" t="str">
        <f>"60.0818"</f>
        <v>60.0818</v>
      </c>
      <c r="C2589" t="s">
        <v>47</v>
      </c>
      <c r="D2589" t="s">
        <v>12</v>
      </c>
      <c r="E2589" t="s">
        <v>5699</v>
      </c>
      <c r="F2589" t="s">
        <v>5700</v>
      </c>
    </row>
    <row r="2590" spans="1:8" x14ac:dyDescent="0.55000000000000004">
      <c r="A2590" t="str">
        <f t="shared" si="82"/>
        <v>60</v>
      </c>
      <c r="B2590" t="str">
        <f>"60.0819"</f>
        <v>60.0819</v>
      </c>
      <c r="C2590" t="s">
        <v>47</v>
      </c>
      <c r="D2590" t="s">
        <v>12</v>
      </c>
      <c r="E2590" t="s">
        <v>5701</v>
      </c>
      <c r="F2590" t="s">
        <v>5702</v>
      </c>
    </row>
    <row r="2591" spans="1:8" x14ac:dyDescent="0.55000000000000004">
      <c r="A2591" t="str">
        <f t="shared" si="82"/>
        <v>60</v>
      </c>
      <c r="B2591" t="str">
        <f>"60.0820"</f>
        <v>60.0820</v>
      </c>
      <c r="C2591" t="s">
        <v>47</v>
      </c>
      <c r="D2591" t="s">
        <v>12</v>
      </c>
      <c r="E2591" t="s">
        <v>5703</v>
      </c>
      <c r="F2591" t="s">
        <v>5704</v>
      </c>
    </row>
    <row r="2592" spans="1:8" x14ac:dyDescent="0.55000000000000004">
      <c r="A2592" t="str">
        <f t="shared" si="82"/>
        <v>60</v>
      </c>
      <c r="B2592" t="str">
        <f>"60.0821"</f>
        <v>60.0821</v>
      </c>
      <c r="C2592" t="s">
        <v>47</v>
      </c>
      <c r="D2592" t="s">
        <v>12</v>
      </c>
      <c r="E2592" t="s">
        <v>5705</v>
      </c>
      <c r="F2592" t="s">
        <v>5706</v>
      </c>
    </row>
    <row r="2593" spans="1:8" x14ac:dyDescent="0.55000000000000004">
      <c r="A2593" t="str">
        <f t="shared" si="82"/>
        <v>60</v>
      </c>
      <c r="B2593" t="str">
        <f>"60.0822"</f>
        <v>60.0822</v>
      </c>
      <c r="C2593" t="s">
        <v>47</v>
      </c>
      <c r="D2593" t="s">
        <v>12</v>
      </c>
      <c r="E2593" t="s">
        <v>5707</v>
      </c>
      <c r="F2593" t="s">
        <v>5708</v>
      </c>
    </row>
    <row r="2594" spans="1:8" x14ac:dyDescent="0.55000000000000004">
      <c r="A2594" t="str">
        <f t="shared" si="82"/>
        <v>60</v>
      </c>
      <c r="B2594" t="str">
        <f>"60.0823"</f>
        <v>60.0823</v>
      </c>
      <c r="C2594" t="s">
        <v>47</v>
      </c>
      <c r="D2594" t="s">
        <v>12</v>
      </c>
      <c r="E2594" t="s">
        <v>5709</v>
      </c>
      <c r="F2594" t="s">
        <v>5710</v>
      </c>
    </row>
    <row r="2595" spans="1:8" x14ac:dyDescent="0.55000000000000004">
      <c r="A2595" t="str">
        <f t="shared" si="82"/>
        <v>60</v>
      </c>
      <c r="B2595" t="str">
        <f>"60.0824"</f>
        <v>60.0824</v>
      </c>
      <c r="C2595" t="s">
        <v>47</v>
      </c>
      <c r="D2595" t="s">
        <v>12</v>
      </c>
      <c r="E2595" t="s">
        <v>5711</v>
      </c>
      <c r="F2595" t="s">
        <v>5712</v>
      </c>
    </row>
    <row r="2596" spans="1:8" x14ac:dyDescent="0.55000000000000004">
      <c r="A2596" t="str">
        <f t="shared" si="82"/>
        <v>60</v>
      </c>
      <c r="B2596" t="str">
        <f>"60.0825"</f>
        <v>60.0825</v>
      </c>
      <c r="C2596" t="s">
        <v>47</v>
      </c>
      <c r="D2596" t="s">
        <v>12</v>
      </c>
      <c r="E2596" t="s">
        <v>5713</v>
      </c>
      <c r="F2596" t="s">
        <v>5714</v>
      </c>
    </row>
    <row r="2597" spans="1:8" x14ac:dyDescent="0.55000000000000004">
      <c r="A2597" t="str">
        <f t="shared" si="82"/>
        <v>60</v>
      </c>
      <c r="B2597" t="str">
        <f>"60.0826"</f>
        <v>60.0826</v>
      </c>
      <c r="C2597" t="s">
        <v>47</v>
      </c>
      <c r="D2597" t="s">
        <v>12</v>
      </c>
      <c r="E2597" t="s">
        <v>5715</v>
      </c>
      <c r="F2597" t="s">
        <v>5716</v>
      </c>
    </row>
    <row r="2598" spans="1:8" x14ac:dyDescent="0.55000000000000004">
      <c r="A2598" t="str">
        <f t="shared" si="82"/>
        <v>60</v>
      </c>
      <c r="B2598" t="str">
        <f>"60.0827"</f>
        <v>60.0827</v>
      </c>
      <c r="C2598" t="s">
        <v>47</v>
      </c>
      <c r="D2598" t="s">
        <v>12</v>
      </c>
      <c r="E2598" t="s">
        <v>5717</v>
      </c>
      <c r="F2598" t="s">
        <v>5718</v>
      </c>
    </row>
    <row r="2599" spans="1:8" x14ac:dyDescent="0.55000000000000004">
      <c r="A2599" t="str">
        <f t="shared" si="82"/>
        <v>60</v>
      </c>
      <c r="B2599" t="str">
        <f>"60.0828"</f>
        <v>60.0828</v>
      </c>
      <c r="C2599" t="s">
        <v>47</v>
      </c>
      <c r="D2599" t="s">
        <v>12</v>
      </c>
      <c r="E2599" t="s">
        <v>5719</v>
      </c>
      <c r="F2599" t="s">
        <v>5720</v>
      </c>
    </row>
    <row r="2600" spans="1:8" x14ac:dyDescent="0.55000000000000004">
      <c r="A2600" t="str">
        <f t="shared" si="82"/>
        <v>60</v>
      </c>
      <c r="B2600" t="str">
        <f>"60.0829"</f>
        <v>60.0829</v>
      </c>
      <c r="C2600" t="s">
        <v>47</v>
      </c>
      <c r="D2600" t="s">
        <v>12</v>
      </c>
      <c r="E2600" t="s">
        <v>5721</v>
      </c>
      <c r="F2600" t="s">
        <v>5722</v>
      </c>
    </row>
    <row r="2601" spans="1:8" x14ac:dyDescent="0.55000000000000004">
      <c r="A2601" t="str">
        <f t="shared" si="82"/>
        <v>60</v>
      </c>
      <c r="B2601" t="str">
        <f>"60.0830"</f>
        <v>60.0830</v>
      </c>
      <c r="C2601" t="s">
        <v>47</v>
      </c>
      <c r="D2601" t="s">
        <v>12</v>
      </c>
      <c r="E2601" t="s">
        <v>5723</v>
      </c>
      <c r="F2601" t="s">
        <v>5724</v>
      </c>
      <c r="H2601" t="s">
        <v>5725</v>
      </c>
    </row>
    <row r="2602" spans="1:8" x14ac:dyDescent="0.55000000000000004">
      <c r="A2602" t="str">
        <f t="shared" si="82"/>
        <v>60</v>
      </c>
      <c r="B2602" t="str">
        <f>"60.0831"</f>
        <v>60.0831</v>
      </c>
      <c r="C2602" t="s">
        <v>47</v>
      </c>
      <c r="D2602" t="s">
        <v>12</v>
      </c>
      <c r="E2602" t="s">
        <v>5726</v>
      </c>
      <c r="F2602" t="s">
        <v>5727</v>
      </c>
    </row>
    <row r="2603" spans="1:8" x14ac:dyDescent="0.55000000000000004">
      <c r="A2603" t="str">
        <f t="shared" si="82"/>
        <v>60</v>
      </c>
      <c r="B2603" t="str">
        <f>"60.0832"</f>
        <v>60.0832</v>
      </c>
      <c r="C2603" t="s">
        <v>47</v>
      </c>
      <c r="D2603" t="s">
        <v>12</v>
      </c>
      <c r="E2603" t="s">
        <v>5728</v>
      </c>
      <c r="F2603" t="s">
        <v>5729</v>
      </c>
      <c r="H2603" t="s">
        <v>5730</v>
      </c>
    </row>
    <row r="2604" spans="1:8" x14ac:dyDescent="0.55000000000000004">
      <c r="A2604" t="str">
        <f t="shared" si="82"/>
        <v>60</v>
      </c>
      <c r="B2604" t="str">
        <f>"60.0899"</f>
        <v>60.0899</v>
      </c>
      <c r="C2604" t="s">
        <v>47</v>
      </c>
      <c r="D2604" t="s">
        <v>12</v>
      </c>
      <c r="E2604" t="s">
        <v>5731</v>
      </c>
      <c r="F2604" t="s">
        <v>5732</v>
      </c>
    </row>
    <row r="2605" spans="1:8" x14ac:dyDescent="0.55000000000000004">
      <c r="A2605" t="str">
        <f t="shared" si="82"/>
        <v>60</v>
      </c>
      <c r="B2605" t="str">
        <f>"60.09"</f>
        <v>60.09</v>
      </c>
      <c r="C2605" t="s">
        <v>47</v>
      </c>
      <c r="D2605" t="s">
        <v>12</v>
      </c>
      <c r="E2605" t="s">
        <v>5733</v>
      </c>
      <c r="F2605" t="s">
        <v>5734</v>
      </c>
    </row>
    <row r="2606" spans="1:8" x14ac:dyDescent="0.55000000000000004">
      <c r="A2606" t="str">
        <f t="shared" si="82"/>
        <v>60</v>
      </c>
      <c r="B2606" t="str">
        <f>"60.0901"</f>
        <v>60.0901</v>
      </c>
      <c r="C2606" t="s">
        <v>47</v>
      </c>
      <c r="D2606" t="s">
        <v>12</v>
      </c>
      <c r="E2606" t="s">
        <v>5735</v>
      </c>
      <c r="F2606" t="s">
        <v>5736</v>
      </c>
      <c r="H2606" t="s">
        <v>5737</v>
      </c>
    </row>
    <row r="2607" spans="1:8" x14ac:dyDescent="0.55000000000000004">
      <c r="A2607" t="str">
        <f t="shared" si="82"/>
        <v>60</v>
      </c>
      <c r="B2607" t="str">
        <f>"60.0902"</f>
        <v>60.0902</v>
      </c>
      <c r="C2607" t="s">
        <v>47</v>
      </c>
      <c r="D2607" t="s">
        <v>12</v>
      </c>
      <c r="E2607" t="s">
        <v>5738</v>
      </c>
      <c r="F2607" t="s">
        <v>5739</v>
      </c>
      <c r="H2607" t="s">
        <v>5740</v>
      </c>
    </row>
    <row r="2608" spans="1:8" x14ac:dyDescent="0.55000000000000004">
      <c r="A2608" t="str">
        <f t="shared" si="82"/>
        <v>60</v>
      </c>
      <c r="B2608" t="str">
        <f>"60.0903"</f>
        <v>60.0903</v>
      </c>
      <c r="C2608" t="s">
        <v>47</v>
      </c>
      <c r="D2608" t="s">
        <v>12</v>
      </c>
      <c r="E2608" t="s">
        <v>5741</v>
      </c>
      <c r="F2608" t="s">
        <v>5742</v>
      </c>
      <c r="H2608" t="s">
        <v>5743</v>
      </c>
    </row>
    <row r="2609" spans="1:8" x14ac:dyDescent="0.55000000000000004">
      <c r="A2609" t="str">
        <f t="shared" si="82"/>
        <v>60</v>
      </c>
      <c r="B2609" t="str">
        <f>"60.0904"</f>
        <v>60.0904</v>
      </c>
      <c r="C2609" t="s">
        <v>47</v>
      </c>
      <c r="D2609" t="s">
        <v>12</v>
      </c>
      <c r="E2609" t="s">
        <v>5744</v>
      </c>
      <c r="F2609" t="s">
        <v>5745</v>
      </c>
      <c r="H2609" t="s">
        <v>5746</v>
      </c>
    </row>
    <row r="2610" spans="1:8" x14ac:dyDescent="0.55000000000000004">
      <c r="A2610" t="str">
        <f t="shared" si="82"/>
        <v>60</v>
      </c>
      <c r="B2610" t="str">
        <f>"60.0905"</f>
        <v>60.0905</v>
      </c>
      <c r="C2610" t="s">
        <v>47</v>
      </c>
      <c r="D2610" t="s">
        <v>12</v>
      </c>
      <c r="E2610" t="s">
        <v>5747</v>
      </c>
      <c r="F2610" t="s">
        <v>5748</v>
      </c>
      <c r="H2610" t="s">
        <v>5749</v>
      </c>
    </row>
    <row r="2611" spans="1:8" x14ac:dyDescent="0.55000000000000004">
      <c r="A2611" t="str">
        <f t="shared" si="82"/>
        <v>60</v>
      </c>
      <c r="B2611" t="str">
        <f>"60.0906"</f>
        <v>60.0906</v>
      </c>
      <c r="C2611" t="s">
        <v>47</v>
      </c>
      <c r="D2611" t="s">
        <v>12</v>
      </c>
      <c r="E2611" t="s">
        <v>5750</v>
      </c>
      <c r="F2611" t="s">
        <v>5751</v>
      </c>
      <c r="H2611" t="s">
        <v>5752</v>
      </c>
    </row>
    <row r="2612" spans="1:8" x14ac:dyDescent="0.55000000000000004">
      <c r="A2612" t="str">
        <f t="shared" si="82"/>
        <v>60</v>
      </c>
      <c r="B2612" t="str">
        <f>"60.0907"</f>
        <v>60.0907</v>
      </c>
      <c r="C2612" t="s">
        <v>47</v>
      </c>
      <c r="D2612" t="s">
        <v>12</v>
      </c>
      <c r="E2612" t="s">
        <v>5753</v>
      </c>
      <c r="F2612" t="s">
        <v>5754</v>
      </c>
      <c r="H2612" t="s">
        <v>5755</v>
      </c>
    </row>
    <row r="2613" spans="1:8" x14ac:dyDescent="0.55000000000000004">
      <c r="A2613" t="str">
        <f t="shared" si="82"/>
        <v>60</v>
      </c>
      <c r="B2613" t="str">
        <f>"60.0908"</f>
        <v>60.0908</v>
      </c>
      <c r="C2613" t="s">
        <v>47</v>
      </c>
      <c r="D2613" t="s">
        <v>12</v>
      </c>
      <c r="E2613" t="s">
        <v>5756</v>
      </c>
      <c r="F2613" t="s">
        <v>5757</v>
      </c>
      <c r="H2613" t="s">
        <v>5758</v>
      </c>
    </row>
    <row r="2614" spans="1:8" x14ac:dyDescent="0.55000000000000004">
      <c r="A2614" t="str">
        <f t="shared" si="82"/>
        <v>60</v>
      </c>
      <c r="B2614" t="str">
        <f>"60.0909"</f>
        <v>60.0909</v>
      </c>
      <c r="C2614" t="s">
        <v>47</v>
      </c>
      <c r="D2614" t="s">
        <v>12</v>
      </c>
      <c r="E2614" t="s">
        <v>5759</v>
      </c>
      <c r="F2614" t="s">
        <v>5760</v>
      </c>
      <c r="H2614" t="s">
        <v>5761</v>
      </c>
    </row>
    <row r="2615" spans="1:8" x14ac:dyDescent="0.55000000000000004">
      <c r="A2615" t="str">
        <f t="shared" ref="A2615:A2628" si="83">"60"</f>
        <v>60</v>
      </c>
      <c r="B2615" t="str">
        <f>"60.0910"</f>
        <v>60.0910</v>
      </c>
      <c r="C2615" t="s">
        <v>47</v>
      </c>
      <c r="D2615" t="s">
        <v>12</v>
      </c>
      <c r="E2615" t="s">
        <v>5762</v>
      </c>
      <c r="F2615" t="s">
        <v>5763</v>
      </c>
      <c r="H2615" t="s">
        <v>5764</v>
      </c>
    </row>
    <row r="2616" spans="1:8" x14ac:dyDescent="0.55000000000000004">
      <c r="A2616" t="str">
        <f t="shared" si="83"/>
        <v>60</v>
      </c>
      <c r="B2616" t="str">
        <f>"60.0911"</f>
        <v>60.0911</v>
      </c>
      <c r="C2616" t="s">
        <v>47</v>
      </c>
      <c r="D2616" t="s">
        <v>12</v>
      </c>
      <c r="E2616" t="s">
        <v>5765</v>
      </c>
      <c r="F2616" t="s">
        <v>5766</v>
      </c>
      <c r="H2616" t="s">
        <v>5767</v>
      </c>
    </row>
    <row r="2617" spans="1:8" x14ac:dyDescent="0.55000000000000004">
      <c r="A2617" t="str">
        <f t="shared" si="83"/>
        <v>60</v>
      </c>
      <c r="B2617" t="str">
        <f>"60.0912"</f>
        <v>60.0912</v>
      </c>
      <c r="C2617" t="s">
        <v>47</v>
      </c>
      <c r="D2617" t="s">
        <v>12</v>
      </c>
      <c r="E2617" t="s">
        <v>5768</v>
      </c>
      <c r="F2617" t="s">
        <v>5769</v>
      </c>
      <c r="H2617" t="s">
        <v>5770</v>
      </c>
    </row>
    <row r="2618" spans="1:8" x14ac:dyDescent="0.55000000000000004">
      <c r="A2618" t="str">
        <f t="shared" si="83"/>
        <v>60</v>
      </c>
      <c r="B2618" t="str">
        <f>"60.0913"</f>
        <v>60.0913</v>
      </c>
      <c r="C2618" t="s">
        <v>47</v>
      </c>
      <c r="D2618" t="s">
        <v>12</v>
      </c>
      <c r="E2618" t="s">
        <v>5771</v>
      </c>
      <c r="F2618" t="s">
        <v>5772</v>
      </c>
      <c r="H2618" t="s">
        <v>5773</v>
      </c>
    </row>
    <row r="2619" spans="1:8" x14ac:dyDescent="0.55000000000000004">
      <c r="A2619" t="str">
        <f t="shared" si="83"/>
        <v>60</v>
      </c>
      <c r="B2619" t="str">
        <f>"60.0914"</f>
        <v>60.0914</v>
      </c>
      <c r="C2619" t="s">
        <v>47</v>
      </c>
      <c r="D2619" t="s">
        <v>12</v>
      </c>
      <c r="E2619" t="s">
        <v>5774</v>
      </c>
      <c r="F2619" t="s">
        <v>5775</v>
      </c>
      <c r="H2619" t="s">
        <v>5776</v>
      </c>
    </row>
    <row r="2620" spans="1:8" x14ac:dyDescent="0.55000000000000004">
      <c r="A2620" t="str">
        <f t="shared" si="83"/>
        <v>60</v>
      </c>
      <c r="B2620" t="str">
        <f>"60.0915"</f>
        <v>60.0915</v>
      </c>
      <c r="C2620" t="s">
        <v>47</v>
      </c>
      <c r="D2620" t="s">
        <v>12</v>
      </c>
      <c r="E2620" t="s">
        <v>5777</v>
      </c>
      <c r="F2620" t="s">
        <v>5778</v>
      </c>
      <c r="H2620" t="s">
        <v>5779</v>
      </c>
    </row>
    <row r="2621" spans="1:8" x14ac:dyDescent="0.55000000000000004">
      <c r="A2621" t="str">
        <f t="shared" si="83"/>
        <v>60</v>
      </c>
      <c r="B2621" t="str">
        <f>"60.0916"</f>
        <v>60.0916</v>
      </c>
      <c r="C2621" t="s">
        <v>47</v>
      </c>
      <c r="D2621" t="s">
        <v>12</v>
      </c>
      <c r="E2621" t="s">
        <v>5780</v>
      </c>
      <c r="F2621" t="s">
        <v>5781</v>
      </c>
      <c r="H2621" t="s">
        <v>5782</v>
      </c>
    </row>
    <row r="2622" spans="1:8" x14ac:dyDescent="0.55000000000000004">
      <c r="A2622" t="str">
        <f t="shared" si="83"/>
        <v>60</v>
      </c>
      <c r="B2622" t="str">
        <f>"60.0917"</f>
        <v>60.0917</v>
      </c>
      <c r="C2622" t="s">
        <v>47</v>
      </c>
      <c r="D2622" t="s">
        <v>12</v>
      </c>
      <c r="E2622" t="s">
        <v>5783</v>
      </c>
      <c r="F2622" t="s">
        <v>5784</v>
      </c>
      <c r="H2622" t="s">
        <v>5785</v>
      </c>
    </row>
    <row r="2623" spans="1:8" x14ac:dyDescent="0.55000000000000004">
      <c r="A2623" t="str">
        <f t="shared" si="83"/>
        <v>60</v>
      </c>
      <c r="B2623" t="str">
        <f>"60.0918"</f>
        <v>60.0918</v>
      </c>
      <c r="C2623" t="s">
        <v>47</v>
      </c>
      <c r="D2623" t="s">
        <v>12</v>
      </c>
      <c r="E2623" t="s">
        <v>5786</v>
      </c>
      <c r="F2623" t="s">
        <v>5787</v>
      </c>
      <c r="H2623" t="s">
        <v>5788</v>
      </c>
    </row>
    <row r="2624" spans="1:8" x14ac:dyDescent="0.55000000000000004">
      <c r="A2624" t="str">
        <f t="shared" si="83"/>
        <v>60</v>
      </c>
      <c r="B2624" t="str">
        <f>"60.0919"</f>
        <v>60.0919</v>
      </c>
      <c r="C2624" t="s">
        <v>47</v>
      </c>
      <c r="D2624" t="s">
        <v>12</v>
      </c>
      <c r="E2624" t="s">
        <v>5789</v>
      </c>
      <c r="F2624" t="s">
        <v>5790</v>
      </c>
      <c r="H2624" t="s">
        <v>5791</v>
      </c>
    </row>
    <row r="2625" spans="1:8" x14ac:dyDescent="0.55000000000000004">
      <c r="A2625" t="str">
        <f t="shared" si="83"/>
        <v>60</v>
      </c>
      <c r="B2625" t="str">
        <f>"60.0920"</f>
        <v>60.0920</v>
      </c>
      <c r="C2625" t="s">
        <v>47</v>
      </c>
      <c r="D2625" t="s">
        <v>12</v>
      </c>
      <c r="E2625" t="s">
        <v>5792</v>
      </c>
      <c r="F2625" t="s">
        <v>5793</v>
      </c>
      <c r="H2625" t="s">
        <v>5794</v>
      </c>
    </row>
    <row r="2626" spans="1:8" x14ac:dyDescent="0.55000000000000004">
      <c r="A2626" t="str">
        <f t="shared" si="83"/>
        <v>60</v>
      </c>
      <c r="B2626" t="str">
        <f>"60.0999"</f>
        <v>60.0999</v>
      </c>
      <c r="C2626" t="s">
        <v>47</v>
      </c>
      <c r="D2626" t="s">
        <v>12</v>
      </c>
      <c r="E2626" t="s">
        <v>5795</v>
      </c>
      <c r="F2626" t="s">
        <v>5796</v>
      </c>
      <c r="H2626" t="s">
        <v>5797</v>
      </c>
    </row>
    <row r="2627" spans="1:8" x14ac:dyDescent="0.55000000000000004">
      <c r="A2627" t="str">
        <f t="shared" si="83"/>
        <v>60</v>
      </c>
      <c r="B2627" t="str">
        <f>"60.99"</f>
        <v>60.99</v>
      </c>
      <c r="C2627" t="s">
        <v>47</v>
      </c>
      <c r="D2627" t="s">
        <v>12</v>
      </c>
      <c r="E2627" t="s">
        <v>5798</v>
      </c>
      <c r="F2627" t="s">
        <v>5799</v>
      </c>
    </row>
    <row r="2628" spans="1:8" x14ac:dyDescent="0.55000000000000004">
      <c r="A2628" t="str">
        <f t="shared" si="83"/>
        <v>60</v>
      </c>
      <c r="B2628" t="str">
        <f>"60.9999"</f>
        <v>60.9999</v>
      </c>
      <c r="C2628" t="s">
        <v>47</v>
      </c>
      <c r="D2628" t="s">
        <v>12</v>
      </c>
      <c r="E2628" t="s">
        <v>5798</v>
      </c>
      <c r="F2628" t="s">
        <v>5800</v>
      </c>
    </row>
    <row r="2629" spans="1:8" x14ac:dyDescent="0.55000000000000004">
      <c r="A2629" t="str">
        <f>"61"</f>
        <v>61</v>
      </c>
      <c r="B2629" t="str">
        <f>"61"</f>
        <v>61</v>
      </c>
      <c r="C2629" t="s">
        <v>47</v>
      </c>
      <c r="D2629" t="s">
        <v>12</v>
      </c>
      <c r="E2629" t="s">
        <v>5801</v>
      </c>
      <c r="F2629" t="s">
        <v>5802</v>
      </c>
    </row>
    <row r="2630" spans="1:8" x14ac:dyDescent="0.55000000000000004">
      <c r="A2630" t="str">
        <f t="shared" ref="A2630:A2693" si="84">"61"</f>
        <v>61</v>
      </c>
      <c r="B2630" t="str">
        <f>"61.01"</f>
        <v>61.01</v>
      </c>
      <c r="C2630" t="s">
        <v>47</v>
      </c>
      <c r="D2630" t="s">
        <v>12</v>
      </c>
      <c r="E2630" t="s">
        <v>5803</v>
      </c>
      <c r="F2630" t="s">
        <v>5804</v>
      </c>
    </row>
    <row r="2631" spans="1:8" x14ac:dyDescent="0.55000000000000004">
      <c r="A2631" t="str">
        <f t="shared" si="84"/>
        <v>61</v>
      </c>
      <c r="B2631" t="str">
        <f>"61.0101"</f>
        <v>61.0101</v>
      </c>
      <c r="C2631" t="s">
        <v>47</v>
      </c>
      <c r="D2631" t="s">
        <v>12</v>
      </c>
      <c r="E2631" t="s">
        <v>5805</v>
      </c>
      <c r="F2631" t="s">
        <v>5806</v>
      </c>
    </row>
    <row r="2632" spans="1:8" x14ac:dyDescent="0.55000000000000004">
      <c r="A2632" t="str">
        <f t="shared" si="84"/>
        <v>61</v>
      </c>
      <c r="B2632" t="str">
        <f>"61.0102"</f>
        <v>61.0102</v>
      </c>
      <c r="C2632" t="s">
        <v>47</v>
      </c>
      <c r="D2632" t="s">
        <v>12</v>
      </c>
      <c r="E2632" t="s">
        <v>5807</v>
      </c>
      <c r="F2632" t="s">
        <v>5808</v>
      </c>
    </row>
    <row r="2633" spans="1:8" x14ac:dyDescent="0.55000000000000004">
      <c r="A2633" t="str">
        <f t="shared" si="84"/>
        <v>61</v>
      </c>
      <c r="B2633" t="str">
        <f>"61.0103"</f>
        <v>61.0103</v>
      </c>
      <c r="C2633" t="s">
        <v>47</v>
      </c>
      <c r="D2633" t="s">
        <v>12</v>
      </c>
      <c r="E2633" t="s">
        <v>5809</v>
      </c>
      <c r="F2633" t="s">
        <v>5810</v>
      </c>
    </row>
    <row r="2634" spans="1:8" x14ac:dyDescent="0.55000000000000004">
      <c r="A2634" t="str">
        <f t="shared" si="84"/>
        <v>61</v>
      </c>
      <c r="B2634" t="str">
        <f>"61.0104"</f>
        <v>61.0104</v>
      </c>
      <c r="C2634" t="s">
        <v>47</v>
      </c>
      <c r="D2634" t="s">
        <v>12</v>
      </c>
      <c r="E2634" t="s">
        <v>5811</v>
      </c>
      <c r="F2634" t="s">
        <v>5812</v>
      </c>
    </row>
    <row r="2635" spans="1:8" x14ac:dyDescent="0.55000000000000004">
      <c r="A2635" t="str">
        <f t="shared" si="84"/>
        <v>61</v>
      </c>
      <c r="B2635" t="str">
        <f>"61.0105"</f>
        <v>61.0105</v>
      </c>
      <c r="C2635" t="s">
        <v>47</v>
      </c>
      <c r="D2635" t="s">
        <v>12</v>
      </c>
      <c r="E2635" t="s">
        <v>5813</v>
      </c>
      <c r="F2635" t="s">
        <v>5814</v>
      </c>
    </row>
    <row r="2636" spans="1:8" x14ac:dyDescent="0.55000000000000004">
      <c r="A2636" t="str">
        <f t="shared" si="84"/>
        <v>61</v>
      </c>
      <c r="B2636" t="str">
        <f>"61.0106"</f>
        <v>61.0106</v>
      </c>
      <c r="C2636" t="s">
        <v>47</v>
      </c>
      <c r="D2636" t="s">
        <v>12</v>
      </c>
      <c r="E2636" t="s">
        <v>5815</v>
      </c>
      <c r="F2636" t="s">
        <v>5816</v>
      </c>
    </row>
    <row r="2637" spans="1:8" x14ac:dyDescent="0.55000000000000004">
      <c r="A2637" t="str">
        <f t="shared" si="84"/>
        <v>61</v>
      </c>
      <c r="B2637" t="str">
        <f>"61.0107"</f>
        <v>61.0107</v>
      </c>
      <c r="C2637" t="s">
        <v>47</v>
      </c>
      <c r="D2637" t="s">
        <v>12</v>
      </c>
      <c r="E2637" t="s">
        <v>5817</v>
      </c>
      <c r="F2637" t="s">
        <v>5818</v>
      </c>
    </row>
    <row r="2638" spans="1:8" x14ac:dyDescent="0.55000000000000004">
      <c r="A2638" t="str">
        <f t="shared" si="84"/>
        <v>61</v>
      </c>
      <c r="B2638" t="str">
        <f>"61.0108"</f>
        <v>61.0108</v>
      </c>
      <c r="C2638" t="s">
        <v>47</v>
      </c>
      <c r="D2638" t="s">
        <v>12</v>
      </c>
      <c r="E2638" t="s">
        <v>5819</v>
      </c>
      <c r="F2638" t="s">
        <v>5820</v>
      </c>
    </row>
    <row r="2639" spans="1:8" x14ac:dyDescent="0.55000000000000004">
      <c r="A2639" t="str">
        <f t="shared" si="84"/>
        <v>61</v>
      </c>
      <c r="B2639" t="str">
        <f>"61.0109"</f>
        <v>61.0109</v>
      </c>
      <c r="C2639" t="s">
        <v>47</v>
      </c>
      <c r="D2639" t="s">
        <v>12</v>
      </c>
      <c r="E2639" t="s">
        <v>5821</v>
      </c>
      <c r="F2639" t="s">
        <v>5822</v>
      </c>
    </row>
    <row r="2640" spans="1:8" x14ac:dyDescent="0.55000000000000004">
      <c r="A2640" t="str">
        <f t="shared" si="84"/>
        <v>61</v>
      </c>
      <c r="B2640" t="str">
        <f>"61.0110"</f>
        <v>61.0110</v>
      </c>
      <c r="C2640" t="s">
        <v>47</v>
      </c>
      <c r="D2640" t="s">
        <v>12</v>
      </c>
      <c r="E2640" t="s">
        <v>5823</v>
      </c>
      <c r="F2640" t="s">
        <v>5824</v>
      </c>
    </row>
    <row r="2641" spans="1:6" x14ac:dyDescent="0.55000000000000004">
      <c r="A2641" t="str">
        <f t="shared" si="84"/>
        <v>61</v>
      </c>
      <c r="B2641" t="str">
        <f>"61.0111"</f>
        <v>61.0111</v>
      </c>
      <c r="C2641" t="s">
        <v>47</v>
      </c>
      <c r="D2641" t="s">
        <v>12</v>
      </c>
      <c r="E2641" t="s">
        <v>5825</v>
      </c>
      <c r="F2641" t="s">
        <v>5826</v>
      </c>
    </row>
    <row r="2642" spans="1:6" x14ac:dyDescent="0.55000000000000004">
      <c r="A2642" t="str">
        <f t="shared" si="84"/>
        <v>61</v>
      </c>
      <c r="B2642" t="str">
        <f>"61.0112"</f>
        <v>61.0112</v>
      </c>
      <c r="C2642" t="s">
        <v>47</v>
      </c>
      <c r="D2642" t="s">
        <v>12</v>
      </c>
      <c r="E2642" t="s">
        <v>5827</v>
      </c>
      <c r="F2642" t="s">
        <v>5828</v>
      </c>
    </row>
    <row r="2643" spans="1:6" x14ac:dyDescent="0.55000000000000004">
      <c r="A2643" t="str">
        <f t="shared" si="84"/>
        <v>61</v>
      </c>
      <c r="B2643" t="str">
        <f>"61.0113"</f>
        <v>61.0113</v>
      </c>
      <c r="C2643" t="s">
        <v>47</v>
      </c>
      <c r="D2643" t="s">
        <v>12</v>
      </c>
      <c r="E2643" t="s">
        <v>5829</v>
      </c>
      <c r="F2643" t="s">
        <v>5830</v>
      </c>
    </row>
    <row r="2644" spans="1:6" x14ac:dyDescent="0.55000000000000004">
      <c r="A2644" t="str">
        <f t="shared" si="84"/>
        <v>61</v>
      </c>
      <c r="B2644" t="str">
        <f>"61.0114"</f>
        <v>61.0114</v>
      </c>
      <c r="C2644" t="s">
        <v>47</v>
      </c>
      <c r="D2644" t="s">
        <v>12</v>
      </c>
      <c r="E2644" t="s">
        <v>5831</v>
      </c>
      <c r="F2644" t="s">
        <v>5832</v>
      </c>
    </row>
    <row r="2645" spans="1:6" x14ac:dyDescent="0.55000000000000004">
      <c r="A2645" t="str">
        <f t="shared" si="84"/>
        <v>61</v>
      </c>
      <c r="B2645" t="str">
        <f>"61.0115"</f>
        <v>61.0115</v>
      </c>
      <c r="C2645" t="s">
        <v>47</v>
      </c>
      <c r="D2645" t="s">
        <v>12</v>
      </c>
      <c r="E2645" t="s">
        <v>5833</v>
      </c>
      <c r="F2645" t="s">
        <v>5834</v>
      </c>
    </row>
    <row r="2646" spans="1:6" x14ac:dyDescent="0.55000000000000004">
      <c r="A2646" t="str">
        <f t="shared" si="84"/>
        <v>61</v>
      </c>
      <c r="B2646" t="str">
        <f>"61.0116"</f>
        <v>61.0116</v>
      </c>
      <c r="C2646" t="s">
        <v>47</v>
      </c>
      <c r="D2646" t="s">
        <v>12</v>
      </c>
      <c r="E2646" t="s">
        <v>5835</v>
      </c>
      <c r="F2646" t="s">
        <v>5836</v>
      </c>
    </row>
    <row r="2647" spans="1:6" x14ac:dyDescent="0.55000000000000004">
      <c r="A2647" t="str">
        <f t="shared" si="84"/>
        <v>61</v>
      </c>
      <c r="B2647" t="str">
        <f>"61.0117"</f>
        <v>61.0117</v>
      </c>
      <c r="C2647" t="s">
        <v>47</v>
      </c>
      <c r="D2647" t="s">
        <v>12</v>
      </c>
      <c r="E2647" t="s">
        <v>5837</v>
      </c>
      <c r="F2647" t="s">
        <v>5838</v>
      </c>
    </row>
    <row r="2648" spans="1:6" x14ac:dyDescent="0.55000000000000004">
      <c r="A2648" t="str">
        <f t="shared" si="84"/>
        <v>61</v>
      </c>
      <c r="B2648" t="str">
        <f>"61.0118"</f>
        <v>61.0118</v>
      </c>
      <c r="C2648" t="s">
        <v>47</v>
      </c>
      <c r="D2648" t="s">
        <v>12</v>
      </c>
      <c r="E2648" t="s">
        <v>5839</v>
      </c>
      <c r="F2648" t="s">
        <v>5840</v>
      </c>
    </row>
    <row r="2649" spans="1:6" x14ac:dyDescent="0.55000000000000004">
      <c r="A2649" t="str">
        <f t="shared" si="84"/>
        <v>61</v>
      </c>
      <c r="B2649" t="str">
        <f>"61.0119"</f>
        <v>61.0119</v>
      </c>
      <c r="C2649" t="s">
        <v>47</v>
      </c>
      <c r="D2649" t="s">
        <v>12</v>
      </c>
      <c r="E2649" t="s">
        <v>5841</v>
      </c>
      <c r="F2649" t="s">
        <v>5842</v>
      </c>
    </row>
    <row r="2650" spans="1:6" x14ac:dyDescent="0.55000000000000004">
      <c r="A2650" t="str">
        <f t="shared" si="84"/>
        <v>61</v>
      </c>
      <c r="B2650" t="str">
        <f>"61.0120"</f>
        <v>61.0120</v>
      </c>
      <c r="C2650" t="s">
        <v>47</v>
      </c>
      <c r="D2650" t="s">
        <v>12</v>
      </c>
      <c r="E2650" t="s">
        <v>5843</v>
      </c>
      <c r="F2650" t="s">
        <v>5844</v>
      </c>
    </row>
    <row r="2651" spans="1:6" x14ac:dyDescent="0.55000000000000004">
      <c r="A2651" t="str">
        <f t="shared" si="84"/>
        <v>61</v>
      </c>
      <c r="B2651" t="str">
        <f>"61.0121"</f>
        <v>61.0121</v>
      </c>
      <c r="C2651" t="s">
        <v>47</v>
      </c>
      <c r="D2651" t="s">
        <v>12</v>
      </c>
      <c r="E2651" t="s">
        <v>5845</v>
      </c>
      <c r="F2651" t="s">
        <v>5846</v>
      </c>
    </row>
    <row r="2652" spans="1:6" x14ac:dyDescent="0.55000000000000004">
      <c r="A2652" t="str">
        <f t="shared" si="84"/>
        <v>61</v>
      </c>
      <c r="B2652" t="str">
        <f>"61.0122"</f>
        <v>61.0122</v>
      </c>
      <c r="C2652" t="s">
        <v>47</v>
      </c>
      <c r="D2652" t="s">
        <v>12</v>
      </c>
      <c r="E2652" t="s">
        <v>5847</v>
      </c>
      <c r="F2652" t="s">
        <v>5848</v>
      </c>
    </row>
    <row r="2653" spans="1:6" x14ac:dyDescent="0.55000000000000004">
      <c r="A2653" t="str">
        <f t="shared" si="84"/>
        <v>61</v>
      </c>
      <c r="B2653" t="str">
        <f>"61.0123"</f>
        <v>61.0123</v>
      </c>
      <c r="C2653" t="s">
        <v>47</v>
      </c>
      <c r="D2653" t="s">
        <v>12</v>
      </c>
      <c r="E2653" t="s">
        <v>5849</v>
      </c>
      <c r="F2653" t="s">
        <v>5850</v>
      </c>
    </row>
    <row r="2654" spans="1:6" x14ac:dyDescent="0.55000000000000004">
      <c r="A2654" t="str">
        <f t="shared" si="84"/>
        <v>61</v>
      </c>
      <c r="B2654" t="str">
        <f>"61.0124"</f>
        <v>61.0124</v>
      </c>
      <c r="C2654" t="s">
        <v>47</v>
      </c>
      <c r="D2654" t="s">
        <v>12</v>
      </c>
      <c r="E2654" t="s">
        <v>5851</v>
      </c>
      <c r="F2654" t="s">
        <v>5852</v>
      </c>
    </row>
    <row r="2655" spans="1:6" x14ac:dyDescent="0.55000000000000004">
      <c r="A2655" t="str">
        <f t="shared" si="84"/>
        <v>61</v>
      </c>
      <c r="B2655" t="str">
        <f>"61.0125"</f>
        <v>61.0125</v>
      </c>
      <c r="C2655" t="s">
        <v>47</v>
      </c>
      <c r="D2655" t="s">
        <v>12</v>
      </c>
      <c r="E2655" t="s">
        <v>5853</v>
      </c>
      <c r="F2655" t="s">
        <v>5854</v>
      </c>
    </row>
    <row r="2656" spans="1:6" x14ac:dyDescent="0.55000000000000004">
      <c r="A2656" t="str">
        <f t="shared" si="84"/>
        <v>61</v>
      </c>
      <c r="B2656" t="str">
        <f>"61.0199"</f>
        <v>61.0199</v>
      </c>
      <c r="C2656" t="s">
        <v>47</v>
      </c>
      <c r="D2656" t="s">
        <v>12</v>
      </c>
      <c r="E2656" t="s">
        <v>5855</v>
      </c>
      <c r="F2656" t="s">
        <v>5856</v>
      </c>
    </row>
    <row r="2657" spans="1:8" x14ac:dyDescent="0.55000000000000004">
      <c r="A2657" t="str">
        <f t="shared" si="84"/>
        <v>61</v>
      </c>
      <c r="B2657" t="str">
        <f>"61.02"</f>
        <v>61.02</v>
      </c>
      <c r="C2657" t="s">
        <v>47</v>
      </c>
      <c r="D2657" t="s">
        <v>12</v>
      </c>
      <c r="E2657" t="s">
        <v>5857</v>
      </c>
      <c r="F2657" t="s">
        <v>5858</v>
      </c>
    </row>
    <row r="2658" spans="1:8" x14ac:dyDescent="0.55000000000000004">
      <c r="A2658" t="str">
        <f t="shared" si="84"/>
        <v>61</v>
      </c>
      <c r="B2658" t="str">
        <f>"61.0202"</f>
        <v>61.0202</v>
      </c>
      <c r="C2658" t="s">
        <v>173</v>
      </c>
      <c r="D2658" t="s">
        <v>9</v>
      </c>
      <c r="E2658" t="s">
        <v>5859</v>
      </c>
      <c r="F2658" t="s">
        <v>5860</v>
      </c>
      <c r="H2658" t="s">
        <v>5861</v>
      </c>
    </row>
    <row r="2659" spans="1:8" x14ac:dyDescent="0.55000000000000004">
      <c r="A2659" t="str">
        <f t="shared" si="84"/>
        <v>61</v>
      </c>
      <c r="B2659" t="str">
        <f>"61.0203"</f>
        <v>61.0203</v>
      </c>
      <c r="C2659" t="s">
        <v>173</v>
      </c>
      <c r="D2659" t="s">
        <v>9</v>
      </c>
      <c r="E2659" t="s">
        <v>5862</v>
      </c>
      <c r="F2659" t="s">
        <v>5863</v>
      </c>
    </row>
    <row r="2660" spans="1:8" x14ac:dyDescent="0.55000000000000004">
      <c r="A2660" t="str">
        <f t="shared" si="84"/>
        <v>61</v>
      </c>
      <c r="B2660" t="str">
        <f>"61.0204"</f>
        <v>61.0204</v>
      </c>
      <c r="C2660" t="s">
        <v>47</v>
      </c>
      <c r="D2660" t="s">
        <v>12</v>
      </c>
      <c r="E2660" t="s">
        <v>5864</v>
      </c>
      <c r="F2660" t="s">
        <v>5865</v>
      </c>
    </row>
    <row r="2661" spans="1:8" x14ac:dyDescent="0.55000000000000004">
      <c r="A2661" t="str">
        <f t="shared" si="84"/>
        <v>61</v>
      </c>
      <c r="B2661" t="str">
        <f>"61.0205"</f>
        <v>61.0205</v>
      </c>
      <c r="C2661" t="s">
        <v>173</v>
      </c>
      <c r="D2661" t="s">
        <v>9</v>
      </c>
      <c r="E2661" t="s">
        <v>5866</v>
      </c>
      <c r="F2661" t="s">
        <v>5867</v>
      </c>
    </row>
    <row r="2662" spans="1:8" x14ac:dyDescent="0.55000000000000004">
      <c r="A2662" t="str">
        <f t="shared" si="84"/>
        <v>61</v>
      </c>
      <c r="B2662" t="str">
        <f>"61.0206"</f>
        <v>61.0206</v>
      </c>
      <c r="C2662" t="s">
        <v>47</v>
      </c>
      <c r="D2662" t="s">
        <v>12</v>
      </c>
      <c r="E2662" t="s">
        <v>5868</v>
      </c>
      <c r="F2662" t="s">
        <v>5869</v>
      </c>
      <c r="H2662" t="s">
        <v>5870</v>
      </c>
    </row>
    <row r="2663" spans="1:8" x14ac:dyDescent="0.55000000000000004">
      <c r="A2663" t="str">
        <f t="shared" si="84"/>
        <v>61</v>
      </c>
      <c r="B2663" t="str">
        <f>"61.0207"</f>
        <v>61.0207</v>
      </c>
      <c r="C2663" t="s">
        <v>47</v>
      </c>
      <c r="D2663" t="s">
        <v>12</v>
      </c>
      <c r="E2663" t="s">
        <v>5871</v>
      </c>
      <c r="F2663" t="s">
        <v>5872</v>
      </c>
      <c r="G2663" t="s">
        <v>5873</v>
      </c>
    </row>
    <row r="2664" spans="1:8" x14ac:dyDescent="0.55000000000000004">
      <c r="A2664" t="str">
        <f t="shared" si="84"/>
        <v>61</v>
      </c>
      <c r="B2664" t="str">
        <f>"61.0208"</f>
        <v>61.0208</v>
      </c>
      <c r="C2664" t="s">
        <v>173</v>
      </c>
      <c r="D2664" t="s">
        <v>9</v>
      </c>
      <c r="E2664" t="s">
        <v>5874</v>
      </c>
      <c r="F2664" t="s">
        <v>5875</v>
      </c>
    </row>
    <row r="2665" spans="1:8" x14ac:dyDescent="0.55000000000000004">
      <c r="A2665" t="str">
        <f t="shared" si="84"/>
        <v>61</v>
      </c>
      <c r="B2665" t="str">
        <f>"61.0209"</f>
        <v>61.0209</v>
      </c>
      <c r="C2665" t="s">
        <v>173</v>
      </c>
      <c r="D2665" t="s">
        <v>9</v>
      </c>
      <c r="E2665" t="s">
        <v>5876</v>
      </c>
      <c r="F2665" t="s">
        <v>5877</v>
      </c>
    </row>
    <row r="2666" spans="1:8" x14ac:dyDescent="0.55000000000000004">
      <c r="A2666" t="str">
        <f t="shared" si="84"/>
        <v>61</v>
      </c>
      <c r="B2666" t="str">
        <f>"61.0210"</f>
        <v>61.0210</v>
      </c>
      <c r="C2666" t="s">
        <v>173</v>
      </c>
      <c r="D2666" t="s">
        <v>9</v>
      </c>
      <c r="E2666" t="s">
        <v>5878</v>
      </c>
      <c r="F2666" t="s">
        <v>5879</v>
      </c>
      <c r="G2666" t="s">
        <v>5880</v>
      </c>
    </row>
    <row r="2667" spans="1:8" x14ac:dyDescent="0.55000000000000004">
      <c r="A2667" t="str">
        <f t="shared" si="84"/>
        <v>61</v>
      </c>
      <c r="B2667" t="str">
        <f>"61.0211"</f>
        <v>61.0211</v>
      </c>
      <c r="C2667" t="s">
        <v>47</v>
      </c>
      <c r="D2667" t="s">
        <v>12</v>
      </c>
      <c r="E2667" t="s">
        <v>5881</v>
      </c>
      <c r="F2667" t="s">
        <v>5882</v>
      </c>
    </row>
    <row r="2668" spans="1:8" x14ac:dyDescent="0.55000000000000004">
      <c r="A2668" t="str">
        <f t="shared" si="84"/>
        <v>61</v>
      </c>
      <c r="B2668" t="str">
        <f>"61.0212"</f>
        <v>61.0212</v>
      </c>
      <c r="C2668" t="s">
        <v>173</v>
      </c>
      <c r="D2668" t="s">
        <v>9</v>
      </c>
      <c r="E2668" t="s">
        <v>5883</v>
      </c>
      <c r="F2668" t="s">
        <v>5884</v>
      </c>
    </row>
    <row r="2669" spans="1:8" x14ac:dyDescent="0.55000000000000004">
      <c r="A2669" t="str">
        <f t="shared" si="84"/>
        <v>61</v>
      </c>
      <c r="B2669" t="str">
        <f>"61.0213"</f>
        <v>61.0213</v>
      </c>
      <c r="C2669" t="s">
        <v>173</v>
      </c>
      <c r="D2669" t="s">
        <v>9</v>
      </c>
      <c r="E2669" t="s">
        <v>5885</v>
      </c>
      <c r="F2669" t="s">
        <v>5886</v>
      </c>
    </row>
    <row r="2670" spans="1:8" x14ac:dyDescent="0.55000000000000004">
      <c r="A2670" t="str">
        <f t="shared" si="84"/>
        <v>61</v>
      </c>
      <c r="B2670" t="str">
        <f>"61.0214"</f>
        <v>61.0214</v>
      </c>
      <c r="C2670" t="s">
        <v>173</v>
      </c>
      <c r="D2670" t="s">
        <v>9</v>
      </c>
      <c r="E2670" t="s">
        <v>5887</v>
      </c>
      <c r="F2670" t="s">
        <v>5888</v>
      </c>
      <c r="H2670" t="s">
        <v>5889</v>
      </c>
    </row>
    <row r="2671" spans="1:8" x14ac:dyDescent="0.55000000000000004">
      <c r="A2671" t="str">
        <f t="shared" si="84"/>
        <v>61</v>
      </c>
      <c r="B2671" t="str">
        <f>"61.0215"</f>
        <v>61.0215</v>
      </c>
      <c r="C2671" t="s">
        <v>47</v>
      </c>
      <c r="D2671" t="s">
        <v>12</v>
      </c>
      <c r="E2671" t="s">
        <v>5890</v>
      </c>
      <c r="F2671" t="s">
        <v>5891</v>
      </c>
      <c r="H2671" t="s">
        <v>5892</v>
      </c>
    </row>
    <row r="2672" spans="1:8" x14ac:dyDescent="0.55000000000000004">
      <c r="A2672" t="str">
        <f t="shared" si="84"/>
        <v>61</v>
      </c>
      <c r="B2672" t="str">
        <f>"61.0216"</f>
        <v>61.0216</v>
      </c>
      <c r="C2672" t="s">
        <v>173</v>
      </c>
      <c r="D2672" t="s">
        <v>9</v>
      </c>
      <c r="E2672" t="s">
        <v>5893</v>
      </c>
      <c r="F2672" t="s">
        <v>5894</v>
      </c>
    </row>
    <row r="2673" spans="1:8" x14ac:dyDescent="0.55000000000000004">
      <c r="A2673" t="str">
        <f t="shared" si="84"/>
        <v>61</v>
      </c>
      <c r="B2673" t="str">
        <f>"61.0217"</f>
        <v>61.0217</v>
      </c>
      <c r="C2673" t="s">
        <v>47</v>
      </c>
      <c r="D2673" t="s">
        <v>12</v>
      </c>
      <c r="E2673" t="s">
        <v>5895</v>
      </c>
      <c r="F2673" t="s">
        <v>5896</v>
      </c>
    </row>
    <row r="2674" spans="1:8" x14ac:dyDescent="0.55000000000000004">
      <c r="A2674" t="str">
        <f t="shared" si="84"/>
        <v>61</v>
      </c>
      <c r="B2674" t="str">
        <f>"61.0218"</f>
        <v>61.0218</v>
      </c>
      <c r="C2674" t="s">
        <v>47</v>
      </c>
      <c r="D2674" t="s">
        <v>12</v>
      </c>
      <c r="E2674" t="s">
        <v>5897</v>
      </c>
      <c r="F2674" t="s">
        <v>5898</v>
      </c>
      <c r="H2674" t="s">
        <v>5899</v>
      </c>
    </row>
    <row r="2675" spans="1:8" x14ac:dyDescent="0.55000000000000004">
      <c r="A2675" t="str">
        <f t="shared" si="84"/>
        <v>61</v>
      </c>
      <c r="B2675" t="str">
        <f>"61.0299"</f>
        <v>61.0299</v>
      </c>
      <c r="C2675" t="s">
        <v>47</v>
      </c>
      <c r="D2675" t="s">
        <v>12</v>
      </c>
      <c r="E2675" t="s">
        <v>5900</v>
      </c>
      <c r="F2675" t="s">
        <v>5901</v>
      </c>
    </row>
    <row r="2676" spans="1:8" x14ac:dyDescent="0.55000000000000004">
      <c r="A2676" t="str">
        <f t="shared" si="84"/>
        <v>61</v>
      </c>
      <c r="B2676" t="str">
        <f>"61.03"</f>
        <v>61.03</v>
      </c>
      <c r="C2676" t="s">
        <v>47</v>
      </c>
      <c r="D2676" t="s">
        <v>12</v>
      </c>
      <c r="E2676" t="s">
        <v>5902</v>
      </c>
      <c r="F2676" t="s">
        <v>5903</v>
      </c>
    </row>
    <row r="2677" spans="1:8" x14ac:dyDescent="0.55000000000000004">
      <c r="A2677" t="str">
        <f t="shared" si="84"/>
        <v>61</v>
      </c>
      <c r="B2677" t="str">
        <f>"61.0301"</f>
        <v>61.0301</v>
      </c>
      <c r="C2677" t="s">
        <v>173</v>
      </c>
      <c r="D2677" t="s">
        <v>9</v>
      </c>
      <c r="E2677" t="s">
        <v>5904</v>
      </c>
      <c r="F2677" t="s">
        <v>5905</v>
      </c>
    </row>
    <row r="2678" spans="1:8" x14ac:dyDescent="0.55000000000000004">
      <c r="A2678" t="str">
        <f t="shared" si="84"/>
        <v>61</v>
      </c>
      <c r="B2678" t="str">
        <f>"61.0399"</f>
        <v>61.0399</v>
      </c>
      <c r="C2678" t="s">
        <v>47</v>
      </c>
      <c r="D2678" t="s">
        <v>12</v>
      </c>
      <c r="E2678" t="s">
        <v>5906</v>
      </c>
      <c r="F2678" t="s">
        <v>5907</v>
      </c>
    </row>
    <row r="2679" spans="1:8" x14ac:dyDescent="0.55000000000000004">
      <c r="A2679" t="str">
        <f t="shared" si="84"/>
        <v>61</v>
      </c>
      <c r="B2679" t="str">
        <f>"61.04"</f>
        <v>61.04</v>
      </c>
      <c r="C2679" t="s">
        <v>47</v>
      </c>
      <c r="D2679" t="s">
        <v>12</v>
      </c>
      <c r="E2679" t="s">
        <v>5908</v>
      </c>
      <c r="F2679" t="s">
        <v>5909</v>
      </c>
    </row>
    <row r="2680" spans="1:8" x14ac:dyDescent="0.55000000000000004">
      <c r="A2680" t="str">
        <f t="shared" si="84"/>
        <v>61</v>
      </c>
      <c r="B2680" t="str">
        <f>"61.0401"</f>
        <v>61.0401</v>
      </c>
      <c r="C2680" t="s">
        <v>173</v>
      </c>
      <c r="D2680" t="s">
        <v>9</v>
      </c>
      <c r="E2680" t="s">
        <v>5316</v>
      </c>
      <c r="F2680" t="s">
        <v>5910</v>
      </c>
    </row>
    <row r="2681" spans="1:8" x14ac:dyDescent="0.55000000000000004">
      <c r="A2681" t="str">
        <f t="shared" si="84"/>
        <v>61</v>
      </c>
      <c r="B2681" t="str">
        <f>"61.0499"</f>
        <v>61.0499</v>
      </c>
      <c r="C2681" t="s">
        <v>47</v>
      </c>
      <c r="D2681" t="s">
        <v>12</v>
      </c>
      <c r="E2681" t="s">
        <v>5911</v>
      </c>
      <c r="F2681" t="s">
        <v>5912</v>
      </c>
    </row>
    <row r="2682" spans="1:8" x14ac:dyDescent="0.55000000000000004">
      <c r="A2682" t="str">
        <f t="shared" si="84"/>
        <v>61</v>
      </c>
      <c r="B2682" t="str">
        <f>"61.05"</f>
        <v>61.05</v>
      </c>
      <c r="C2682" t="s">
        <v>47</v>
      </c>
      <c r="D2682" t="s">
        <v>12</v>
      </c>
      <c r="E2682" t="s">
        <v>5913</v>
      </c>
      <c r="F2682" t="s">
        <v>5914</v>
      </c>
    </row>
    <row r="2683" spans="1:8" x14ac:dyDescent="0.55000000000000004">
      <c r="A2683" t="str">
        <f t="shared" si="84"/>
        <v>61</v>
      </c>
      <c r="B2683" t="str">
        <f>"61.0501"</f>
        <v>61.0501</v>
      </c>
      <c r="C2683" t="s">
        <v>173</v>
      </c>
      <c r="D2683" t="s">
        <v>12</v>
      </c>
      <c r="E2683" t="s">
        <v>5329</v>
      </c>
      <c r="F2683" t="s">
        <v>5915</v>
      </c>
    </row>
    <row r="2684" spans="1:8" x14ac:dyDescent="0.55000000000000004">
      <c r="A2684" t="str">
        <f t="shared" si="84"/>
        <v>61</v>
      </c>
      <c r="B2684" t="str">
        <f>"61.0502"</f>
        <v>61.0502</v>
      </c>
      <c r="C2684" t="s">
        <v>173</v>
      </c>
      <c r="D2684" t="s">
        <v>9</v>
      </c>
      <c r="E2684" t="s">
        <v>5916</v>
      </c>
      <c r="F2684" t="s">
        <v>5917</v>
      </c>
    </row>
    <row r="2685" spans="1:8" x14ac:dyDescent="0.55000000000000004">
      <c r="A2685" t="str">
        <f t="shared" si="84"/>
        <v>61</v>
      </c>
      <c r="B2685" t="str">
        <f>"61.0503"</f>
        <v>61.0503</v>
      </c>
      <c r="C2685" t="s">
        <v>173</v>
      </c>
      <c r="D2685" t="s">
        <v>9</v>
      </c>
      <c r="E2685" t="s">
        <v>5918</v>
      </c>
      <c r="F2685" t="s">
        <v>5919</v>
      </c>
    </row>
    <row r="2686" spans="1:8" x14ac:dyDescent="0.55000000000000004">
      <c r="A2686" t="str">
        <f t="shared" si="84"/>
        <v>61</v>
      </c>
      <c r="B2686" t="str">
        <f>"61.0599"</f>
        <v>61.0599</v>
      </c>
      <c r="C2686" t="s">
        <v>47</v>
      </c>
      <c r="D2686" t="s">
        <v>12</v>
      </c>
      <c r="E2686" t="s">
        <v>5920</v>
      </c>
      <c r="F2686" t="s">
        <v>5921</v>
      </c>
    </row>
    <row r="2687" spans="1:8" x14ac:dyDescent="0.55000000000000004">
      <c r="A2687" t="str">
        <f t="shared" si="84"/>
        <v>61</v>
      </c>
      <c r="B2687" t="str">
        <f>"61.06"</f>
        <v>61.06</v>
      </c>
      <c r="C2687" t="s">
        <v>47</v>
      </c>
      <c r="D2687" t="s">
        <v>12</v>
      </c>
      <c r="E2687" t="s">
        <v>5922</v>
      </c>
      <c r="F2687" t="s">
        <v>5923</v>
      </c>
    </row>
    <row r="2688" spans="1:8" x14ac:dyDescent="0.55000000000000004">
      <c r="A2688" t="str">
        <f t="shared" si="84"/>
        <v>61</v>
      </c>
      <c r="B2688" t="str">
        <f>"61.0601"</f>
        <v>61.0601</v>
      </c>
      <c r="C2688" t="s">
        <v>173</v>
      </c>
      <c r="D2688" t="s">
        <v>12</v>
      </c>
      <c r="E2688" t="s">
        <v>5333</v>
      </c>
      <c r="F2688" t="s">
        <v>5924</v>
      </c>
    </row>
    <row r="2689" spans="1:8" x14ac:dyDescent="0.55000000000000004">
      <c r="A2689" t="str">
        <f t="shared" si="84"/>
        <v>61</v>
      </c>
      <c r="B2689" t="str">
        <f>"61.0602"</f>
        <v>61.0602</v>
      </c>
      <c r="C2689" t="s">
        <v>47</v>
      </c>
      <c r="D2689" t="s">
        <v>12</v>
      </c>
      <c r="E2689" t="s">
        <v>5925</v>
      </c>
      <c r="F2689" t="s">
        <v>5926</v>
      </c>
      <c r="H2689" t="s">
        <v>5927</v>
      </c>
    </row>
    <row r="2690" spans="1:8" x14ac:dyDescent="0.55000000000000004">
      <c r="A2690" t="str">
        <f t="shared" si="84"/>
        <v>61</v>
      </c>
      <c r="B2690" t="str">
        <f>"61.0603"</f>
        <v>61.0603</v>
      </c>
      <c r="C2690" t="s">
        <v>47</v>
      </c>
      <c r="D2690" t="s">
        <v>12</v>
      </c>
      <c r="E2690" t="s">
        <v>5928</v>
      </c>
      <c r="F2690" t="s">
        <v>5929</v>
      </c>
    </row>
    <row r="2691" spans="1:8" x14ac:dyDescent="0.55000000000000004">
      <c r="A2691" t="str">
        <f t="shared" si="84"/>
        <v>61</v>
      </c>
      <c r="B2691" t="str">
        <f>"61.0699"</f>
        <v>61.0699</v>
      </c>
      <c r="C2691" t="s">
        <v>47</v>
      </c>
      <c r="D2691" t="s">
        <v>12</v>
      </c>
      <c r="E2691" t="s">
        <v>5930</v>
      </c>
      <c r="F2691" t="s">
        <v>5931</v>
      </c>
    </row>
    <row r="2692" spans="1:8" x14ac:dyDescent="0.55000000000000004">
      <c r="A2692" t="str">
        <f t="shared" si="84"/>
        <v>61</v>
      </c>
      <c r="B2692" t="str">
        <f>"61.07"</f>
        <v>61.07</v>
      </c>
      <c r="C2692" t="s">
        <v>47</v>
      </c>
      <c r="D2692" t="s">
        <v>12</v>
      </c>
      <c r="E2692" t="s">
        <v>5932</v>
      </c>
      <c r="F2692" t="s">
        <v>5933</v>
      </c>
    </row>
    <row r="2693" spans="1:8" x14ac:dyDescent="0.55000000000000004">
      <c r="A2693" t="str">
        <f t="shared" si="84"/>
        <v>61</v>
      </c>
      <c r="B2693" t="str">
        <f>"61.0701"</f>
        <v>61.0701</v>
      </c>
      <c r="C2693" t="s">
        <v>173</v>
      </c>
      <c r="D2693" t="s">
        <v>12</v>
      </c>
      <c r="E2693" t="s">
        <v>5335</v>
      </c>
      <c r="F2693" t="s">
        <v>5934</v>
      </c>
    </row>
    <row r="2694" spans="1:8" x14ac:dyDescent="0.55000000000000004">
      <c r="A2694" t="str">
        <f t="shared" ref="A2694:A2757" si="85">"61"</f>
        <v>61</v>
      </c>
      <c r="B2694" t="str">
        <f>"61.0799"</f>
        <v>61.0799</v>
      </c>
      <c r="C2694" t="s">
        <v>47</v>
      </c>
      <c r="D2694" t="s">
        <v>12</v>
      </c>
      <c r="E2694" t="s">
        <v>5935</v>
      </c>
      <c r="F2694" t="s">
        <v>5936</v>
      </c>
    </row>
    <row r="2695" spans="1:8" x14ac:dyDescent="0.55000000000000004">
      <c r="A2695" t="str">
        <f t="shared" si="85"/>
        <v>61</v>
      </c>
      <c r="B2695" t="str">
        <f>"61.08"</f>
        <v>61.08</v>
      </c>
      <c r="C2695" t="s">
        <v>47</v>
      </c>
      <c r="D2695" t="s">
        <v>12</v>
      </c>
      <c r="E2695" t="s">
        <v>5937</v>
      </c>
      <c r="F2695" t="s">
        <v>5938</v>
      </c>
    </row>
    <row r="2696" spans="1:8" x14ac:dyDescent="0.55000000000000004">
      <c r="A2696" t="str">
        <f t="shared" si="85"/>
        <v>61</v>
      </c>
      <c r="B2696" t="str">
        <f>"61.0801"</f>
        <v>61.0801</v>
      </c>
      <c r="C2696" t="s">
        <v>173</v>
      </c>
      <c r="D2696" t="s">
        <v>12</v>
      </c>
      <c r="E2696" t="s">
        <v>5339</v>
      </c>
      <c r="F2696" t="s">
        <v>5939</v>
      </c>
    </row>
    <row r="2697" spans="1:8" x14ac:dyDescent="0.55000000000000004">
      <c r="A2697" t="str">
        <f t="shared" si="85"/>
        <v>61</v>
      </c>
      <c r="B2697" t="str">
        <f>"61.0804"</f>
        <v>61.0804</v>
      </c>
      <c r="C2697" t="s">
        <v>173</v>
      </c>
      <c r="D2697" t="s">
        <v>9</v>
      </c>
      <c r="E2697" t="s">
        <v>5940</v>
      </c>
      <c r="F2697" t="s">
        <v>5941</v>
      </c>
      <c r="H2697" t="s">
        <v>5942</v>
      </c>
    </row>
    <row r="2698" spans="1:8" x14ac:dyDescent="0.55000000000000004">
      <c r="A2698" t="str">
        <f t="shared" si="85"/>
        <v>61</v>
      </c>
      <c r="B2698" t="str">
        <f>"61.0805"</f>
        <v>61.0805</v>
      </c>
      <c r="C2698" t="s">
        <v>173</v>
      </c>
      <c r="D2698" t="s">
        <v>9</v>
      </c>
      <c r="E2698" t="s">
        <v>5943</v>
      </c>
      <c r="F2698" t="s">
        <v>5944</v>
      </c>
    </row>
    <row r="2699" spans="1:8" x14ac:dyDescent="0.55000000000000004">
      <c r="A2699" t="str">
        <f t="shared" si="85"/>
        <v>61</v>
      </c>
      <c r="B2699" t="str">
        <f>"61.0806"</f>
        <v>61.0806</v>
      </c>
      <c r="C2699" t="s">
        <v>173</v>
      </c>
      <c r="D2699" t="s">
        <v>9</v>
      </c>
      <c r="E2699" t="s">
        <v>5945</v>
      </c>
      <c r="F2699" t="s">
        <v>5946</v>
      </c>
      <c r="H2699" t="s">
        <v>5947</v>
      </c>
    </row>
    <row r="2700" spans="1:8" x14ac:dyDescent="0.55000000000000004">
      <c r="A2700" t="str">
        <f t="shared" si="85"/>
        <v>61</v>
      </c>
      <c r="B2700" t="str">
        <f>"61.0807"</f>
        <v>61.0807</v>
      </c>
      <c r="C2700" t="s">
        <v>173</v>
      </c>
      <c r="D2700" t="s">
        <v>9</v>
      </c>
      <c r="E2700" t="s">
        <v>5948</v>
      </c>
      <c r="F2700" t="s">
        <v>5949</v>
      </c>
    </row>
    <row r="2701" spans="1:8" x14ac:dyDescent="0.55000000000000004">
      <c r="A2701" t="str">
        <f t="shared" si="85"/>
        <v>61</v>
      </c>
      <c r="B2701" t="str">
        <f>"61.0808"</f>
        <v>61.0808</v>
      </c>
      <c r="C2701" t="s">
        <v>173</v>
      </c>
      <c r="D2701" t="s">
        <v>9</v>
      </c>
      <c r="E2701" t="s">
        <v>5950</v>
      </c>
      <c r="F2701" t="s">
        <v>5951</v>
      </c>
    </row>
    <row r="2702" spans="1:8" x14ac:dyDescent="0.55000000000000004">
      <c r="A2702" t="str">
        <f t="shared" si="85"/>
        <v>61</v>
      </c>
      <c r="B2702" t="str">
        <f>"61.0809"</f>
        <v>61.0809</v>
      </c>
      <c r="C2702" t="s">
        <v>47</v>
      </c>
      <c r="D2702" t="s">
        <v>12</v>
      </c>
      <c r="E2702" t="s">
        <v>5952</v>
      </c>
      <c r="F2702" t="s">
        <v>5953</v>
      </c>
    </row>
    <row r="2703" spans="1:8" x14ac:dyDescent="0.55000000000000004">
      <c r="A2703" t="str">
        <f t="shared" si="85"/>
        <v>61</v>
      </c>
      <c r="B2703" t="str">
        <f>"61.0810"</f>
        <v>61.0810</v>
      </c>
      <c r="C2703" t="s">
        <v>173</v>
      </c>
      <c r="D2703" t="s">
        <v>9</v>
      </c>
      <c r="E2703" t="s">
        <v>5954</v>
      </c>
      <c r="F2703" t="s">
        <v>5955</v>
      </c>
    </row>
    <row r="2704" spans="1:8" x14ac:dyDescent="0.55000000000000004">
      <c r="A2704" t="str">
        <f t="shared" si="85"/>
        <v>61</v>
      </c>
      <c r="B2704" t="str">
        <f>"61.0811"</f>
        <v>61.0811</v>
      </c>
      <c r="C2704" t="s">
        <v>173</v>
      </c>
      <c r="D2704" t="s">
        <v>9</v>
      </c>
      <c r="E2704" t="s">
        <v>5956</v>
      </c>
      <c r="F2704" t="s">
        <v>5957</v>
      </c>
    </row>
    <row r="2705" spans="1:8" x14ac:dyDescent="0.55000000000000004">
      <c r="A2705" t="str">
        <f t="shared" si="85"/>
        <v>61</v>
      </c>
      <c r="B2705" t="str">
        <f>"61.0812"</f>
        <v>61.0812</v>
      </c>
      <c r="C2705" t="s">
        <v>173</v>
      </c>
      <c r="D2705" t="s">
        <v>9</v>
      </c>
      <c r="E2705" t="s">
        <v>5958</v>
      </c>
      <c r="F2705" t="s">
        <v>5959</v>
      </c>
    </row>
    <row r="2706" spans="1:8" x14ac:dyDescent="0.55000000000000004">
      <c r="A2706" t="str">
        <f t="shared" si="85"/>
        <v>61</v>
      </c>
      <c r="B2706" t="str">
        <f>"61.0813"</f>
        <v>61.0813</v>
      </c>
      <c r="C2706" t="s">
        <v>173</v>
      </c>
      <c r="D2706" t="s">
        <v>9</v>
      </c>
      <c r="E2706" t="s">
        <v>5960</v>
      </c>
      <c r="F2706" t="s">
        <v>5961</v>
      </c>
    </row>
    <row r="2707" spans="1:8" x14ac:dyDescent="0.55000000000000004">
      <c r="A2707" t="str">
        <f t="shared" si="85"/>
        <v>61</v>
      </c>
      <c r="B2707" t="str">
        <f>"61.0814"</f>
        <v>61.0814</v>
      </c>
      <c r="C2707" t="s">
        <v>173</v>
      </c>
      <c r="D2707" t="s">
        <v>9</v>
      </c>
      <c r="E2707" t="s">
        <v>5962</v>
      </c>
      <c r="F2707" t="s">
        <v>5963</v>
      </c>
    </row>
    <row r="2708" spans="1:8" x14ac:dyDescent="0.55000000000000004">
      <c r="A2708" t="str">
        <f t="shared" si="85"/>
        <v>61</v>
      </c>
      <c r="B2708" t="str">
        <f>"61.0816"</f>
        <v>61.0816</v>
      </c>
      <c r="C2708" t="s">
        <v>173</v>
      </c>
      <c r="D2708" t="s">
        <v>9</v>
      </c>
      <c r="E2708" t="s">
        <v>5964</v>
      </c>
      <c r="F2708" t="s">
        <v>5965</v>
      </c>
    </row>
    <row r="2709" spans="1:8" x14ac:dyDescent="0.55000000000000004">
      <c r="A2709" t="str">
        <f t="shared" si="85"/>
        <v>61</v>
      </c>
      <c r="B2709" t="str">
        <f>"61.0818"</f>
        <v>61.0818</v>
      </c>
      <c r="C2709" t="s">
        <v>173</v>
      </c>
      <c r="D2709" t="s">
        <v>9</v>
      </c>
      <c r="E2709" t="s">
        <v>5966</v>
      </c>
      <c r="F2709" t="s">
        <v>5967</v>
      </c>
    </row>
    <row r="2710" spans="1:8" x14ac:dyDescent="0.55000000000000004">
      <c r="A2710" t="str">
        <f t="shared" si="85"/>
        <v>61</v>
      </c>
      <c r="B2710" t="str">
        <f>"61.0899"</f>
        <v>61.0899</v>
      </c>
      <c r="C2710" t="s">
        <v>47</v>
      </c>
      <c r="D2710" t="s">
        <v>12</v>
      </c>
      <c r="E2710" t="s">
        <v>5968</v>
      </c>
      <c r="F2710" t="s">
        <v>5969</v>
      </c>
    </row>
    <row r="2711" spans="1:8" x14ac:dyDescent="0.55000000000000004">
      <c r="A2711" t="str">
        <f t="shared" si="85"/>
        <v>61</v>
      </c>
      <c r="B2711" t="str">
        <f>"61.09"</f>
        <v>61.09</v>
      </c>
      <c r="C2711" t="s">
        <v>47</v>
      </c>
      <c r="D2711" t="s">
        <v>12</v>
      </c>
      <c r="E2711" t="s">
        <v>5970</v>
      </c>
      <c r="F2711" t="s">
        <v>5971</v>
      </c>
    </row>
    <row r="2712" spans="1:8" x14ac:dyDescent="0.55000000000000004">
      <c r="A2712" t="str">
        <f t="shared" si="85"/>
        <v>61</v>
      </c>
      <c r="B2712" t="str">
        <f>"61.0901"</f>
        <v>61.0901</v>
      </c>
      <c r="C2712" t="s">
        <v>173</v>
      </c>
      <c r="D2712" t="s">
        <v>9</v>
      </c>
      <c r="E2712" t="s">
        <v>5320</v>
      </c>
      <c r="F2712" t="s">
        <v>5972</v>
      </c>
    </row>
    <row r="2713" spans="1:8" x14ac:dyDescent="0.55000000000000004">
      <c r="A2713" t="str">
        <f t="shared" si="85"/>
        <v>61</v>
      </c>
      <c r="B2713" t="str">
        <f>"61.0902"</f>
        <v>61.0902</v>
      </c>
      <c r="C2713" t="s">
        <v>173</v>
      </c>
      <c r="D2713" t="s">
        <v>9</v>
      </c>
      <c r="E2713" t="s">
        <v>5973</v>
      </c>
      <c r="F2713" t="s">
        <v>5974</v>
      </c>
    </row>
    <row r="2714" spans="1:8" x14ac:dyDescent="0.55000000000000004">
      <c r="A2714" t="str">
        <f t="shared" si="85"/>
        <v>61</v>
      </c>
      <c r="B2714" t="str">
        <f>"61.0903"</f>
        <v>61.0903</v>
      </c>
      <c r="C2714" t="s">
        <v>47</v>
      </c>
      <c r="D2714" t="s">
        <v>12</v>
      </c>
      <c r="E2714" t="s">
        <v>5975</v>
      </c>
      <c r="F2714" t="s">
        <v>5976</v>
      </c>
      <c r="H2714" t="s">
        <v>5977</v>
      </c>
    </row>
    <row r="2715" spans="1:8" x14ac:dyDescent="0.55000000000000004">
      <c r="A2715" t="str">
        <f t="shared" si="85"/>
        <v>61</v>
      </c>
      <c r="B2715" t="str">
        <f>"61.0904"</f>
        <v>61.0904</v>
      </c>
      <c r="C2715" t="s">
        <v>173</v>
      </c>
      <c r="D2715" t="s">
        <v>9</v>
      </c>
      <c r="E2715" t="s">
        <v>5441</v>
      </c>
      <c r="F2715" t="s">
        <v>5978</v>
      </c>
    </row>
    <row r="2716" spans="1:8" x14ac:dyDescent="0.55000000000000004">
      <c r="A2716" t="str">
        <f t="shared" si="85"/>
        <v>61</v>
      </c>
      <c r="B2716" t="str">
        <f>"61.0999"</f>
        <v>61.0999</v>
      </c>
      <c r="C2716" t="s">
        <v>47</v>
      </c>
      <c r="D2716" t="s">
        <v>12</v>
      </c>
      <c r="E2716" t="s">
        <v>5979</v>
      </c>
      <c r="F2716" t="s">
        <v>5980</v>
      </c>
    </row>
    <row r="2717" spans="1:8" x14ac:dyDescent="0.55000000000000004">
      <c r="A2717" t="str">
        <f t="shared" si="85"/>
        <v>61</v>
      </c>
      <c r="B2717" t="str">
        <f>"61.10"</f>
        <v>61.10</v>
      </c>
      <c r="C2717" t="s">
        <v>47</v>
      </c>
      <c r="D2717" t="s">
        <v>12</v>
      </c>
      <c r="E2717" t="s">
        <v>5981</v>
      </c>
      <c r="F2717" t="s">
        <v>5982</v>
      </c>
    </row>
    <row r="2718" spans="1:8" x14ac:dyDescent="0.55000000000000004">
      <c r="A2718" t="str">
        <f t="shared" si="85"/>
        <v>61</v>
      </c>
      <c r="B2718" t="str">
        <f>"61.1001"</f>
        <v>61.1001</v>
      </c>
      <c r="C2718" t="s">
        <v>173</v>
      </c>
      <c r="D2718" t="s">
        <v>12</v>
      </c>
      <c r="E2718" t="s">
        <v>5341</v>
      </c>
      <c r="F2718" t="s">
        <v>5983</v>
      </c>
      <c r="H2718" t="s">
        <v>5984</v>
      </c>
    </row>
    <row r="2719" spans="1:8" x14ac:dyDescent="0.55000000000000004">
      <c r="A2719" t="str">
        <f t="shared" si="85"/>
        <v>61</v>
      </c>
      <c r="B2719" t="str">
        <f>"61.1099"</f>
        <v>61.1099</v>
      </c>
      <c r="C2719" t="s">
        <v>47</v>
      </c>
      <c r="D2719" t="s">
        <v>12</v>
      </c>
      <c r="E2719" t="s">
        <v>5985</v>
      </c>
      <c r="F2719" t="s">
        <v>5986</v>
      </c>
    </row>
    <row r="2720" spans="1:8" x14ac:dyDescent="0.55000000000000004">
      <c r="A2720" t="str">
        <f t="shared" si="85"/>
        <v>61</v>
      </c>
      <c r="B2720" t="str">
        <f>"61.11"</f>
        <v>61.11</v>
      </c>
      <c r="C2720" t="s">
        <v>47</v>
      </c>
      <c r="D2720" t="s">
        <v>12</v>
      </c>
      <c r="E2720" t="s">
        <v>5987</v>
      </c>
      <c r="F2720" t="s">
        <v>5988</v>
      </c>
    </row>
    <row r="2721" spans="1:8" x14ac:dyDescent="0.55000000000000004">
      <c r="A2721" t="str">
        <f t="shared" si="85"/>
        <v>61</v>
      </c>
      <c r="B2721" t="str">
        <f>"61.1101"</f>
        <v>61.1101</v>
      </c>
      <c r="C2721" t="s">
        <v>173</v>
      </c>
      <c r="D2721" t="s">
        <v>12</v>
      </c>
      <c r="E2721" t="s">
        <v>5343</v>
      </c>
      <c r="F2721" t="s">
        <v>5989</v>
      </c>
    </row>
    <row r="2722" spans="1:8" x14ac:dyDescent="0.55000000000000004">
      <c r="A2722" t="str">
        <f t="shared" si="85"/>
        <v>61</v>
      </c>
      <c r="B2722" t="str">
        <f>"61.1102"</f>
        <v>61.1102</v>
      </c>
      <c r="C2722" t="s">
        <v>173</v>
      </c>
      <c r="D2722" t="s">
        <v>12</v>
      </c>
      <c r="E2722" t="s">
        <v>5318</v>
      </c>
      <c r="F2722" t="s">
        <v>5990</v>
      </c>
      <c r="H2722" t="s">
        <v>5991</v>
      </c>
    </row>
    <row r="2723" spans="1:8" x14ac:dyDescent="0.55000000000000004">
      <c r="A2723" t="str">
        <f t="shared" si="85"/>
        <v>61</v>
      </c>
      <c r="B2723" t="str">
        <f>"61.1103"</f>
        <v>61.1103</v>
      </c>
      <c r="C2723" t="s">
        <v>173</v>
      </c>
      <c r="D2723" t="s">
        <v>9</v>
      </c>
      <c r="E2723" t="s">
        <v>5992</v>
      </c>
      <c r="F2723" t="s">
        <v>5993</v>
      </c>
    </row>
    <row r="2724" spans="1:8" x14ac:dyDescent="0.55000000000000004">
      <c r="A2724" t="str">
        <f t="shared" si="85"/>
        <v>61</v>
      </c>
      <c r="B2724" t="str">
        <f>"61.1104"</f>
        <v>61.1104</v>
      </c>
      <c r="C2724" t="s">
        <v>47</v>
      </c>
      <c r="D2724" t="s">
        <v>12</v>
      </c>
      <c r="E2724" t="s">
        <v>5994</v>
      </c>
      <c r="F2724" t="s">
        <v>5995</v>
      </c>
    </row>
    <row r="2725" spans="1:8" x14ac:dyDescent="0.55000000000000004">
      <c r="A2725" t="str">
        <f t="shared" si="85"/>
        <v>61</v>
      </c>
      <c r="B2725" t="str">
        <f>"61.1105"</f>
        <v>61.1105</v>
      </c>
      <c r="C2725" t="s">
        <v>47</v>
      </c>
      <c r="D2725" t="s">
        <v>12</v>
      </c>
      <c r="E2725" t="s">
        <v>5996</v>
      </c>
      <c r="F2725" t="s">
        <v>5997</v>
      </c>
    </row>
    <row r="2726" spans="1:8" x14ac:dyDescent="0.55000000000000004">
      <c r="A2726" t="str">
        <f t="shared" si="85"/>
        <v>61</v>
      </c>
      <c r="B2726" t="str">
        <f>"61.1106"</f>
        <v>61.1106</v>
      </c>
      <c r="C2726" t="s">
        <v>173</v>
      </c>
      <c r="D2726" t="s">
        <v>9</v>
      </c>
      <c r="E2726" t="s">
        <v>5998</v>
      </c>
      <c r="F2726" t="s">
        <v>5999</v>
      </c>
    </row>
    <row r="2727" spans="1:8" x14ac:dyDescent="0.55000000000000004">
      <c r="A2727" t="str">
        <f t="shared" si="85"/>
        <v>61</v>
      </c>
      <c r="B2727" t="str">
        <f>"61.1107"</f>
        <v>61.1107</v>
      </c>
      <c r="C2727" t="s">
        <v>173</v>
      </c>
      <c r="D2727" t="s">
        <v>9</v>
      </c>
      <c r="E2727" t="s">
        <v>6000</v>
      </c>
      <c r="F2727" t="s">
        <v>6001</v>
      </c>
    </row>
    <row r="2728" spans="1:8" x14ac:dyDescent="0.55000000000000004">
      <c r="A2728" t="str">
        <f t="shared" si="85"/>
        <v>61</v>
      </c>
      <c r="B2728" t="str">
        <f>"61.1199"</f>
        <v>61.1199</v>
      </c>
      <c r="C2728" t="s">
        <v>47</v>
      </c>
      <c r="D2728" t="s">
        <v>12</v>
      </c>
      <c r="E2728" t="s">
        <v>6002</v>
      </c>
      <c r="F2728" t="s">
        <v>6003</v>
      </c>
    </row>
    <row r="2729" spans="1:8" x14ac:dyDescent="0.55000000000000004">
      <c r="A2729" t="str">
        <f t="shared" si="85"/>
        <v>61</v>
      </c>
      <c r="B2729" t="str">
        <f>"61.12"</f>
        <v>61.12</v>
      </c>
      <c r="C2729" t="s">
        <v>47</v>
      </c>
      <c r="D2729" t="s">
        <v>12</v>
      </c>
      <c r="E2729" t="s">
        <v>6004</v>
      </c>
      <c r="F2729" t="s">
        <v>6005</v>
      </c>
    </row>
    <row r="2730" spans="1:8" x14ac:dyDescent="0.55000000000000004">
      <c r="A2730" t="str">
        <f t="shared" si="85"/>
        <v>61</v>
      </c>
      <c r="B2730" t="str">
        <f>"61.1201"</f>
        <v>61.1201</v>
      </c>
      <c r="C2730" t="s">
        <v>173</v>
      </c>
      <c r="D2730" t="s">
        <v>12</v>
      </c>
      <c r="E2730" t="s">
        <v>5345</v>
      </c>
      <c r="F2730" t="s">
        <v>6006</v>
      </c>
    </row>
    <row r="2731" spans="1:8" x14ac:dyDescent="0.55000000000000004">
      <c r="A2731" t="str">
        <f t="shared" si="85"/>
        <v>61</v>
      </c>
      <c r="B2731" t="str">
        <f>"61.1299"</f>
        <v>61.1299</v>
      </c>
      <c r="C2731" t="s">
        <v>47</v>
      </c>
      <c r="D2731" t="s">
        <v>12</v>
      </c>
      <c r="E2731" t="s">
        <v>6007</v>
      </c>
      <c r="F2731" t="s">
        <v>6008</v>
      </c>
    </row>
    <row r="2732" spans="1:8" x14ac:dyDescent="0.55000000000000004">
      <c r="A2732" t="str">
        <f t="shared" si="85"/>
        <v>61</v>
      </c>
      <c r="B2732" t="str">
        <f>"61.13"</f>
        <v>61.13</v>
      </c>
      <c r="C2732" t="s">
        <v>47</v>
      </c>
      <c r="D2732" t="s">
        <v>12</v>
      </c>
      <c r="E2732" t="s">
        <v>6009</v>
      </c>
      <c r="F2732" t="s">
        <v>6010</v>
      </c>
    </row>
    <row r="2733" spans="1:8" x14ac:dyDescent="0.55000000000000004">
      <c r="A2733" t="str">
        <f t="shared" si="85"/>
        <v>61</v>
      </c>
      <c r="B2733" t="str">
        <f>"61.1301"</f>
        <v>61.1301</v>
      </c>
      <c r="C2733" t="s">
        <v>173</v>
      </c>
      <c r="D2733" t="s">
        <v>12</v>
      </c>
      <c r="E2733" t="s">
        <v>5347</v>
      </c>
      <c r="F2733" t="s">
        <v>6011</v>
      </c>
    </row>
    <row r="2734" spans="1:8" x14ac:dyDescent="0.55000000000000004">
      <c r="A2734" t="str">
        <f t="shared" si="85"/>
        <v>61</v>
      </c>
      <c r="B2734" t="str">
        <f>"61.1302"</f>
        <v>61.1302</v>
      </c>
      <c r="C2734" t="s">
        <v>173</v>
      </c>
      <c r="D2734" t="s">
        <v>9</v>
      </c>
      <c r="E2734" t="s">
        <v>6012</v>
      </c>
      <c r="F2734" t="s">
        <v>6013</v>
      </c>
    </row>
    <row r="2735" spans="1:8" x14ac:dyDescent="0.55000000000000004">
      <c r="A2735" t="str">
        <f t="shared" si="85"/>
        <v>61</v>
      </c>
      <c r="B2735" t="str">
        <f>"61.1303"</f>
        <v>61.1303</v>
      </c>
      <c r="C2735" t="s">
        <v>173</v>
      </c>
      <c r="D2735" t="s">
        <v>9</v>
      </c>
      <c r="E2735" t="s">
        <v>6014</v>
      </c>
      <c r="F2735" t="s">
        <v>6015</v>
      </c>
    </row>
    <row r="2736" spans="1:8" x14ac:dyDescent="0.55000000000000004">
      <c r="A2736" t="str">
        <f t="shared" si="85"/>
        <v>61</v>
      </c>
      <c r="B2736" t="str">
        <f>"61.1304"</f>
        <v>61.1304</v>
      </c>
      <c r="C2736" t="s">
        <v>173</v>
      </c>
      <c r="D2736" t="s">
        <v>9</v>
      </c>
      <c r="E2736" t="s">
        <v>6016</v>
      </c>
      <c r="F2736" t="s">
        <v>6017</v>
      </c>
    </row>
    <row r="2737" spans="1:8" x14ac:dyDescent="0.55000000000000004">
      <c r="A2737" t="str">
        <f t="shared" si="85"/>
        <v>61</v>
      </c>
      <c r="B2737" t="str">
        <f>"61.1399"</f>
        <v>61.1399</v>
      </c>
      <c r="C2737" t="s">
        <v>47</v>
      </c>
      <c r="D2737" t="s">
        <v>12</v>
      </c>
      <c r="E2737" t="s">
        <v>6018</v>
      </c>
      <c r="F2737" t="s">
        <v>6019</v>
      </c>
    </row>
    <row r="2738" spans="1:8" x14ac:dyDescent="0.55000000000000004">
      <c r="A2738" t="str">
        <f t="shared" si="85"/>
        <v>61</v>
      </c>
      <c r="B2738" t="str">
        <f>"61.14"</f>
        <v>61.14</v>
      </c>
      <c r="C2738" t="s">
        <v>47</v>
      </c>
      <c r="D2738" t="s">
        <v>12</v>
      </c>
      <c r="E2738" t="s">
        <v>6020</v>
      </c>
      <c r="F2738" t="s">
        <v>6021</v>
      </c>
    </row>
    <row r="2739" spans="1:8" x14ac:dyDescent="0.55000000000000004">
      <c r="A2739" t="str">
        <f t="shared" si="85"/>
        <v>61</v>
      </c>
      <c r="B2739" t="str">
        <f>"61.1401"</f>
        <v>61.1401</v>
      </c>
      <c r="C2739" t="s">
        <v>173</v>
      </c>
      <c r="D2739" t="s">
        <v>12</v>
      </c>
      <c r="E2739" t="s">
        <v>5351</v>
      </c>
      <c r="F2739" t="s">
        <v>6022</v>
      </c>
    </row>
    <row r="2740" spans="1:8" x14ac:dyDescent="0.55000000000000004">
      <c r="A2740" t="str">
        <f t="shared" si="85"/>
        <v>61</v>
      </c>
      <c r="B2740" t="str">
        <f>"61.1499"</f>
        <v>61.1499</v>
      </c>
      <c r="C2740" t="s">
        <v>47</v>
      </c>
      <c r="D2740" t="s">
        <v>12</v>
      </c>
      <c r="E2740" t="s">
        <v>6023</v>
      </c>
      <c r="F2740" t="s">
        <v>6024</v>
      </c>
    </row>
    <row r="2741" spans="1:8" x14ac:dyDescent="0.55000000000000004">
      <c r="A2741" t="str">
        <f t="shared" si="85"/>
        <v>61</v>
      </c>
      <c r="B2741" t="str">
        <f>"61.15"</f>
        <v>61.15</v>
      </c>
      <c r="C2741" t="s">
        <v>47</v>
      </c>
      <c r="D2741" t="s">
        <v>12</v>
      </c>
      <c r="E2741" t="s">
        <v>6025</v>
      </c>
      <c r="F2741" t="s">
        <v>6026</v>
      </c>
    </row>
    <row r="2742" spans="1:8" x14ac:dyDescent="0.55000000000000004">
      <c r="A2742" t="str">
        <f t="shared" si="85"/>
        <v>61</v>
      </c>
      <c r="B2742" t="str">
        <f>"61.1501"</f>
        <v>61.1501</v>
      </c>
      <c r="C2742" t="s">
        <v>173</v>
      </c>
      <c r="D2742" t="s">
        <v>12</v>
      </c>
      <c r="E2742" t="s">
        <v>5353</v>
      </c>
      <c r="F2742" t="s">
        <v>6027</v>
      </c>
      <c r="H2742" t="s">
        <v>6028</v>
      </c>
    </row>
    <row r="2743" spans="1:8" x14ac:dyDescent="0.55000000000000004">
      <c r="A2743" t="str">
        <f t="shared" si="85"/>
        <v>61</v>
      </c>
      <c r="B2743" t="str">
        <f>"61.1502"</f>
        <v>61.1502</v>
      </c>
      <c r="C2743" t="s">
        <v>173</v>
      </c>
      <c r="D2743" t="s">
        <v>9</v>
      </c>
      <c r="E2743" t="s">
        <v>6029</v>
      </c>
      <c r="F2743" t="s">
        <v>6030</v>
      </c>
    </row>
    <row r="2744" spans="1:8" x14ac:dyDescent="0.55000000000000004">
      <c r="A2744" t="str">
        <f t="shared" si="85"/>
        <v>61</v>
      </c>
      <c r="B2744" t="str">
        <f>"61.1503"</f>
        <v>61.1503</v>
      </c>
      <c r="C2744" t="s">
        <v>173</v>
      </c>
      <c r="D2744" t="s">
        <v>9</v>
      </c>
      <c r="E2744" t="s">
        <v>6031</v>
      </c>
      <c r="F2744" t="s">
        <v>6032</v>
      </c>
      <c r="H2744" t="s">
        <v>6033</v>
      </c>
    </row>
    <row r="2745" spans="1:8" x14ac:dyDescent="0.55000000000000004">
      <c r="A2745" t="str">
        <f t="shared" si="85"/>
        <v>61</v>
      </c>
      <c r="B2745" t="str">
        <f>"61.1504"</f>
        <v>61.1504</v>
      </c>
      <c r="C2745" t="s">
        <v>173</v>
      </c>
      <c r="D2745" t="s">
        <v>9</v>
      </c>
      <c r="E2745" t="s">
        <v>6034</v>
      </c>
      <c r="F2745" t="s">
        <v>6035</v>
      </c>
    </row>
    <row r="2746" spans="1:8" x14ac:dyDescent="0.55000000000000004">
      <c r="A2746" t="str">
        <f t="shared" si="85"/>
        <v>61</v>
      </c>
      <c r="B2746" t="str">
        <f>"61.1505"</f>
        <v>61.1505</v>
      </c>
      <c r="C2746" t="s">
        <v>173</v>
      </c>
      <c r="D2746" t="s">
        <v>9</v>
      </c>
      <c r="E2746" t="s">
        <v>6036</v>
      </c>
      <c r="F2746" t="s">
        <v>6037</v>
      </c>
    </row>
    <row r="2747" spans="1:8" x14ac:dyDescent="0.55000000000000004">
      <c r="A2747" t="str">
        <f t="shared" si="85"/>
        <v>61</v>
      </c>
      <c r="B2747" t="str">
        <f>"61.1599"</f>
        <v>61.1599</v>
      </c>
      <c r="C2747" t="s">
        <v>47</v>
      </c>
      <c r="D2747" t="s">
        <v>12</v>
      </c>
      <c r="E2747" t="s">
        <v>6038</v>
      </c>
      <c r="F2747" t="s">
        <v>6039</v>
      </c>
    </row>
    <row r="2748" spans="1:8" x14ac:dyDescent="0.55000000000000004">
      <c r="A2748" t="str">
        <f t="shared" si="85"/>
        <v>61</v>
      </c>
      <c r="B2748" t="str">
        <f>"61.16"</f>
        <v>61.16</v>
      </c>
      <c r="C2748" t="s">
        <v>47</v>
      </c>
      <c r="D2748" t="s">
        <v>12</v>
      </c>
      <c r="E2748" t="s">
        <v>6040</v>
      </c>
      <c r="F2748" t="s">
        <v>6041</v>
      </c>
    </row>
    <row r="2749" spans="1:8" x14ac:dyDescent="0.55000000000000004">
      <c r="A2749" t="str">
        <f t="shared" si="85"/>
        <v>61</v>
      </c>
      <c r="B2749" t="str">
        <f>"61.1601"</f>
        <v>61.1601</v>
      </c>
      <c r="C2749" t="s">
        <v>47</v>
      </c>
      <c r="D2749" t="s">
        <v>12</v>
      </c>
      <c r="E2749" t="s">
        <v>6042</v>
      </c>
      <c r="F2749" t="s">
        <v>6043</v>
      </c>
    </row>
    <row r="2750" spans="1:8" x14ac:dyDescent="0.55000000000000004">
      <c r="A2750" t="str">
        <f t="shared" si="85"/>
        <v>61</v>
      </c>
      <c r="B2750" t="str">
        <f>"61.1699"</f>
        <v>61.1699</v>
      </c>
      <c r="C2750" t="s">
        <v>47</v>
      </c>
      <c r="D2750" t="s">
        <v>12</v>
      </c>
      <c r="E2750" t="s">
        <v>6044</v>
      </c>
      <c r="F2750" t="s">
        <v>6045</v>
      </c>
    </row>
    <row r="2751" spans="1:8" x14ac:dyDescent="0.55000000000000004">
      <c r="A2751" t="str">
        <f t="shared" si="85"/>
        <v>61</v>
      </c>
      <c r="B2751" t="str">
        <f>"61.17"</f>
        <v>61.17</v>
      </c>
      <c r="C2751" t="s">
        <v>47</v>
      </c>
      <c r="D2751" t="s">
        <v>12</v>
      </c>
      <c r="E2751" t="s">
        <v>6046</v>
      </c>
      <c r="F2751" t="s">
        <v>6047</v>
      </c>
    </row>
    <row r="2752" spans="1:8" x14ac:dyDescent="0.55000000000000004">
      <c r="A2752" t="str">
        <f t="shared" si="85"/>
        <v>61</v>
      </c>
      <c r="B2752" t="str">
        <f>"61.1701"</f>
        <v>61.1701</v>
      </c>
      <c r="C2752" t="s">
        <v>173</v>
      </c>
      <c r="D2752" t="s">
        <v>12</v>
      </c>
      <c r="E2752" t="s">
        <v>5355</v>
      </c>
      <c r="F2752" t="s">
        <v>6048</v>
      </c>
    </row>
    <row r="2753" spans="1:8" x14ac:dyDescent="0.55000000000000004">
      <c r="A2753" t="str">
        <f t="shared" si="85"/>
        <v>61</v>
      </c>
      <c r="B2753" t="str">
        <f>"61.1702"</f>
        <v>61.1702</v>
      </c>
      <c r="C2753" t="s">
        <v>173</v>
      </c>
      <c r="D2753" t="s">
        <v>9</v>
      </c>
      <c r="E2753" t="s">
        <v>6049</v>
      </c>
      <c r="F2753" t="s">
        <v>6050</v>
      </c>
    </row>
    <row r="2754" spans="1:8" x14ac:dyDescent="0.55000000000000004">
      <c r="A2754" t="str">
        <f t="shared" si="85"/>
        <v>61</v>
      </c>
      <c r="B2754" t="str">
        <f>"61.1703"</f>
        <v>61.1703</v>
      </c>
      <c r="C2754" t="s">
        <v>173</v>
      </c>
      <c r="D2754" t="s">
        <v>9</v>
      </c>
      <c r="E2754" t="s">
        <v>6051</v>
      </c>
      <c r="F2754" t="s">
        <v>6052</v>
      </c>
    </row>
    <row r="2755" spans="1:8" x14ac:dyDescent="0.55000000000000004">
      <c r="A2755" t="str">
        <f t="shared" si="85"/>
        <v>61</v>
      </c>
      <c r="B2755" t="str">
        <f>"61.1799"</f>
        <v>61.1799</v>
      </c>
      <c r="C2755" t="s">
        <v>47</v>
      </c>
      <c r="D2755" t="s">
        <v>12</v>
      </c>
      <c r="E2755" t="s">
        <v>6053</v>
      </c>
      <c r="F2755" t="s">
        <v>6054</v>
      </c>
    </row>
    <row r="2756" spans="1:8" x14ac:dyDescent="0.55000000000000004">
      <c r="A2756" t="str">
        <f t="shared" si="85"/>
        <v>61</v>
      </c>
      <c r="B2756" t="str">
        <f>"61.18"</f>
        <v>61.18</v>
      </c>
      <c r="C2756" t="s">
        <v>47</v>
      </c>
      <c r="D2756" t="s">
        <v>12</v>
      </c>
      <c r="E2756" t="s">
        <v>6055</v>
      </c>
      <c r="F2756" t="s">
        <v>6056</v>
      </c>
    </row>
    <row r="2757" spans="1:8" x14ac:dyDescent="0.55000000000000004">
      <c r="A2757" t="str">
        <f t="shared" si="85"/>
        <v>61</v>
      </c>
      <c r="B2757" t="str">
        <f>"61.1801"</f>
        <v>61.1801</v>
      </c>
      <c r="C2757" t="s">
        <v>173</v>
      </c>
      <c r="D2757" t="s">
        <v>9</v>
      </c>
      <c r="E2757" t="s">
        <v>6057</v>
      </c>
      <c r="F2757" t="s">
        <v>6058</v>
      </c>
      <c r="H2757" t="s">
        <v>6059</v>
      </c>
    </row>
    <row r="2758" spans="1:8" x14ac:dyDescent="0.55000000000000004">
      <c r="A2758" t="str">
        <f t="shared" ref="A2758:A2821" si="86">"61"</f>
        <v>61</v>
      </c>
      <c r="B2758" t="str">
        <f>"61.1802"</f>
        <v>61.1802</v>
      </c>
      <c r="C2758" t="s">
        <v>47</v>
      </c>
      <c r="D2758" t="s">
        <v>12</v>
      </c>
      <c r="E2758" t="s">
        <v>6060</v>
      </c>
      <c r="F2758" t="s">
        <v>6061</v>
      </c>
    </row>
    <row r="2759" spans="1:8" x14ac:dyDescent="0.55000000000000004">
      <c r="A2759" t="str">
        <f t="shared" si="86"/>
        <v>61</v>
      </c>
      <c r="B2759" t="str">
        <f>"61.1803"</f>
        <v>61.1803</v>
      </c>
      <c r="C2759" t="s">
        <v>47</v>
      </c>
      <c r="D2759" t="s">
        <v>12</v>
      </c>
      <c r="E2759" t="s">
        <v>6062</v>
      </c>
      <c r="F2759" t="s">
        <v>6063</v>
      </c>
    </row>
    <row r="2760" spans="1:8" x14ac:dyDescent="0.55000000000000004">
      <c r="A2760" t="str">
        <f t="shared" si="86"/>
        <v>61</v>
      </c>
      <c r="B2760" t="str">
        <f>"61.1804"</f>
        <v>61.1804</v>
      </c>
      <c r="C2760" t="s">
        <v>173</v>
      </c>
      <c r="D2760" t="s">
        <v>9</v>
      </c>
      <c r="E2760" t="s">
        <v>6064</v>
      </c>
      <c r="F2760" t="s">
        <v>6065</v>
      </c>
      <c r="H2760" t="s">
        <v>6066</v>
      </c>
    </row>
    <row r="2761" spans="1:8" x14ac:dyDescent="0.55000000000000004">
      <c r="A2761" t="str">
        <f t="shared" si="86"/>
        <v>61</v>
      </c>
      <c r="B2761" t="str">
        <f>"61.1805"</f>
        <v>61.1805</v>
      </c>
      <c r="C2761" t="s">
        <v>173</v>
      </c>
      <c r="D2761" t="s">
        <v>9</v>
      </c>
      <c r="E2761" t="s">
        <v>6067</v>
      </c>
      <c r="F2761" t="s">
        <v>6068</v>
      </c>
    </row>
    <row r="2762" spans="1:8" x14ac:dyDescent="0.55000000000000004">
      <c r="A2762" t="str">
        <f t="shared" si="86"/>
        <v>61</v>
      </c>
      <c r="B2762" t="str">
        <f>"61.1806"</f>
        <v>61.1806</v>
      </c>
      <c r="C2762" t="s">
        <v>173</v>
      </c>
      <c r="D2762" t="s">
        <v>9</v>
      </c>
      <c r="E2762" t="s">
        <v>6069</v>
      </c>
      <c r="F2762" t="s">
        <v>6070</v>
      </c>
    </row>
    <row r="2763" spans="1:8" x14ac:dyDescent="0.55000000000000004">
      <c r="A2763" t="str">
        <f t="shared" si="86"/>
        <v>61</v>
      </c>
      <c r="B2763" t="str">
        <f>"61.1807"</f>
        <v>61.1807</v>
      </c>
      <c r="C2763" t="s">
        <v>173</v>
      </c>
      <c r="D2763" t="s">
        <v>9</v>
      </c>
      <c r="E2763" t="s">
        <v>6071</v>
      </c>
      <c r="F2763" t="s">
        <v>6072</v>
      </c>
    </row>
    <row r="2764" spans="1:8" x14ac:dyDescent="0.55000000000000004">
      <c r="A2764" t="str">
        <f t="shared" si="86"/>
        <v>61</v>
      </c>
      <c r="B2764" t="str">
        <f>"61.1808"</f>
        <v>61.1808</v>
      </c>
      <c r="C2764" t="s">
        <v>173</v>
      </c>
      <c r="D2764" t="s">
        <v>9</v>
      </c>
      <c r="E2764" t="s">
        <v>6073</v>
      </c>
      <c r="F2764" t="s">
        <v>6074</v>
      </c>
      <c r="H2764" t="s">
        <v>6075</v>
      </c>
    </row>
    <row r="2765" spans="1:8" x14ac:dyDescent="0.55000000000000004">
      <c r="A2765" t="str">
        <f t="shared" si="86"/>
        <v>61</v>
      </c>
      <c r="B2765" t="str">
        <f>"61.1809"</f>
        <v>61.1809</v>
      </c>
      <c r="C2765" t="s">
        <v>173</v>
      </c>
      <c r="D2765" t="s">
        <v>9</v>
      </c>
      <c r="E2765" t="s">
        <v>6076</v>
      </c>
      <c r="F2765" t="s">
        <v>6077</v>
      </c>
    </row>
    <row r="2766" spans="1:8" x14ac:dyDescent="0.55000000000000004">
      <c r="A2766" t="str">
        <f t="shared" si="86"/>
        <v>61</v>
      </c>
      <c r="B2766" t="str">
        <f>"61.1810"</f>
        <v>61.1810</v>
      </c>
      <c r="C2766" t="s">
        <v>173</v>
      </c>
      <c r="D2766" t="s">
        <v>9</v>
      </c>
      <c r="E2766" t="s">
        <v>6078</v>
      </c>
      <c r="F2766" t="s">
        <v>6079</v>
      </c>
    </row>
    <row r="2767" spans="1:8" x14ac:dyDescent="0.55000000000000004">
      <c r="A2767" t="str">
        <f t="shared" si="86"/>
        <v>61</v>
      </c>
      <c r="B2767" t="str">
        <f>"61.1811"</f>
        <v>61.1811</v>
      </c>
      <c r="C2767" t="s">
        <v>173</v>
      </c>
      <c r="D2767" t="s">
        <v>9</v>
      </c>
      <c r="E2767" t="s">
        <v>6080</v>
      </c>
      <c r="F2767" t="s">
        <v>6081</v>
      </c>
    </row>
    <row r="2768" spans="1:8" x14ac:dyDescent="0.55000000000000004">
      <c r="A2768" t="str">
        <f t="shared" si="86"/>
        <v>61</v>
      </c>
      <c r="B2768" t="str">
        <f>"61.1812"</f>
        <v>61.1812</v>
      </c>
      <c r="C2768" t="s">
        <v>173</v>
      </c>
      <c r="D2768" t="s">
        <v>9</v>
      </c>
      <c r="E2768" t="s">
        <v>6082</v>
      </c>
      <c r="F2768" t="s">
        <v>6083</v>
      </c>
    </row>
    <row r="2769" spans="1:8" x14ac:dyDescent="0.55000000000000004">
      <c r="A2769" t="str">
        <f t="shared" si="86"/>
        <v>61</v>
      </c>
      <c r="B2769" t="str">
        <f>"61.1813"</f>
        <v>61.1813</v>
      </c>
      <c r="C2769" t="s">
        <v>173</v>
      </c>
      <c r="D2769" t="s">
        <v>9</v>
      </c>
      <c r="E2769" t="s">
        <v>6084</v>
      </c>
      <c r="F2769" t="s">
        <v>6085</v>
      </c>
    </row>
    <row r="2770" spans="1:8" x14ac:dyDescent="0.55000000000000004">
      <c r="A2770" t="str">
        <f t="shared" si="86"/>
        <v>61</v>
      </c>
      <c r="B2770" t="str">
        <f>"61.1814"</f>
        <v>61.1814</v>
      </c>
      <c r="C2770" t="s">
        <v>173</v>
      </c>
      <c r="D2770" t="s">
        <v>9</v>
      </c>
      <c r="E2770" t="s">
        <v>6086</v>
      </c>
      <c r="F2770" t="s">
        <v>6087</v>
      </c>
    </row>
    <row r="2771" spans="1:8" x14ac:dyDescent="0.55000000000000004">
      <c r="A2771" t="str">
        <f t="shared" si="86"/>
        <v>61</v>
      </c>
      <c r="B2771" t="str">
        <f>"61.1815"</f>
        <v>61.1815</v>
      </c>
      <c r="C2771" t="s">
        <v>173</v>
      </c>
      <c r="D2771" t="s">
        <v>9</v>
      </c>
      <c r="E2771" t="s">
        <v>6088</v>
      </c>
      <c r="F2771" t="s">
        <v>6089</v>
      </c>
    </row>
    <row r="2772" spans="1:8" x14ac:dyDescent="0.55000000000000004">
      <c r="A2772" t="str">
        <f t="shared" si="86"/>
        <v>61</v>
      </c>
      <c r="B2772" t="str">
        <f>"61.1899"</f>
        <v>61.1899</v>
      </c>
      <c r="C2772" t="s">
        <v>47</v>
      </c>
      <c r="D2772" t="s">
        <v>12</v>
      </c>
      <c r="E2772" t="s">
        <v>6090</v>
      </c>
      <c r="F2772" t="s">
        <v>6091</v>
      </c>
    </row>
    <row r="2773" spans="1:8" x14ac:dyDescent="0.55000000000000004">
      <c r="A2773" t="str">
        <f t="shared" si="86"/>
        <v>61</v>
      </c>
      <c r="B2773" t="str">
        <f>"61.19"</f>
        <v>61.19</v>
      </c>
      <c r="C2773" t="s">
        <v>47</v>
      </c>
      <c r="D2773" t="s">
        <v>12</v>
      </c>
      <c r="E2773" t="s">
        <v>6092</v>
      </c>
      <c r="F2773" t="s">
        <v>6093</v>
      </c>
    </row>
    <row r="2774" spans="1:8" x14ac:dyDescent="0.55000000000000004">
      <c r="A2774" t="str">
        <f t="shared" si="86"/>
        <v>61</v>
      </c>
      <c r="B2774" t="str">
        <f>"61.1901"</f>
        <v>61.1901</v>
      </c>
      <c r="C2774" t="s">
        <v>173</v>
      </c>
      <c r="D2774" t="s">
        <v>12</v>
      </c>
      <c r="E2774" t="s">
        <v>5359</v>
      </c>
      <c r="F2774" t="s">
        <v>6094</v>
      </c>
    </row>
    <row r="2775" spans="1:8" x14ac:dyDescent="0.55000000000000004">
      <c r="A2775" t="str">
        <f t="shared" si="86"/>
        <v>61</v>
      </c>
      <c r="B2775" t="str">
        <f>"61.1902"</f>
        <v>61.1902</v>
      </c>
      <c r="C2775" t="s">
        <v>173</v>
      </c>
      <c r="D2775" t="s">
        <v>9</v>
      </c>
      <c r="E2775" t="s">
        <v>6095</v>
      </c>
      <c r="F2775" t="s">
        <v>6096</v>
      </c>
    </row>
    <row r="2776" spans="1:8" x14ac:dyDescent="0.55000000000000004">
      <c r="A2776" t="str">
        <f t="shared" si="86"/>
        <v>61</v>
      </c>
      <c r="B2776" t="str">
        <f>"61.1903"</f>
        <v>61.1903</v>
      </c>
      <c r="C2776" t="s">
        <v>173</v>
      </c>
      <c r="D2776" t="s">
        <v>9</v>
      </c>
      <c r="E2776" t="s">
        <v>6097</v>
      </c>
      <c r="F2776" t="s">
        <v>6098</v>
      </c>
    </row>
    <row r="2777" spans="1:8" x14ac:dyDescent="0.55000000000000004">
      <c r="A2777" t="str">
        <f t="shared" si="86"/>
        <v>61</v>
      </c>
      <c r="B2777" t="str">
        <f>"61.1904"</f>
        <v>61.1904</v>
      </c>
      <c r="C2777" t="s">
        <v>173</v>
      </c>
      <c r="D2777" t="s">
        <v>9</v>
      </c>
      <c r="E2777" t="s">
        <v>6099</v>
      </c>
      <c r="F2777" t="s">
        <v>6100</v>
      </c>
    </row>
    <row r="2778" spans="1:8" x14ac:dyDescent="0.55000000000000004">
      <c r="A2778" t="str">
        <f t="shared" si="86"/>
        <v>61</v>
      </c>
      <c r="B2778" t="str">
        <f>"61.1905"</f>
        <v>61.1905</v>
      </c>
      <c r="C2778" t="s">
        <v>173</v>
      </c>
      <c r="D2778" t="s">
        <v>9</v>
      </c>
      <c r="E2778" t="s">
        <v>6101</v>
      </c>
      <c r="F2778" t="s">
        <v>6102</v>
      </c>
    </row>
    <row r="2779" spans="1:8" x14ac:dyDescent="0.55000000000000004">
      <c r="A2779" t="str">
        <f t="shared" si="86"/>
        <v>61</v>
      </c>
      <c r="B2779" t="str">
        <f>"61.1906"</f>
        <v>61.1906</v>
      </c>
      <c r="C2779" t="s">
        <v>173</v>
      </c>
      <c r="D2779" t="s">
        <v>9</v>
      </c>
      <c r="E2779" t="s">
        <v>6103</v>
      </c>
      <c r="F2779" t="s">
        <v>6104</v>
      </c>
    </row>
    <row r="2780" spans="1:8" x14ac:dyDescent="0.55000000000000004">
      <c r="A2780" t="str">
        <f t="shared" si="86"/>
        <v>61</v>
      </c>
      <c r="B2780" t="str">
        <f>"61.1907"</f>
        <v>61.1907</v>
      </c>
      <c r="C2780" t="s">
        <v>173</v>
      </c>
      <c r="D2780" t="s">
        <v>9</v>
      </c>
      <c r="E2780" t="s">
        <v>6105</v>
      </c>
      <c r="F2780" t="s">
        <v>6106</v>
      </c>
    </row>
    <row r="2781" spans="1:8" x14ac:dyDescent="0.55000000000000004">
      <c r="A2781" t="str">
        <f t="shared" si="86"/>
        <v>61</v>
      </c>
      <c r="B2781" t="str">
        <f>"61.1908"</f>
        <v>61.1908</v>
      </c>
      <c r="C2781" t="s">
        <v>173</v>
      </c>
      <c r="D2781" t="s">
        <v>9</v>
      </c>
      <c r="E2781" t="s">
        <v>6107</v>
      </c>
      <c r="F2781" t="s">
        <v>6108</v>
      </c>
    </row>
    <row r="2782" spans="1:8" x14ac:dyDescent="0.55000000000000004">
      <c r="A2782" t="str">
        <f t="shared" si="86"/>
        <v>61</v>
      </c>
      <c r="B2782" t="str">
        <f>"61.1909"</f>
        <v>61.1909</v>
      </c>
      <c r="C2782" t="s">
        <v>173</v>
      </c>
      <c r="D2782" t="s">
        <v>9</v>
      </c>
      <c r="E2782" t="s">
        <v>6109</v>
      </c>
      <c r="F2782" t="s">
        <v>6110</v>
      </c>
    </row>
    <row r="2783" spans="1:8" x14ac:dyDescent="0.55000000000000004">
      <c r="A2783" t="str">
        <f t="shared" si="86"/>
        <v>61</v>
      </c>
      <c r="B2783" t="str">
        <f>"61.1910"</f>
        <v>61.1910</v>
      </c>
      <c r="C2783" t="s">
        <v>173</v>
      </c>
      <c r="D2783" t="s">
        <v>9</v>
      </c>
      <c r="E2783" t="s">
        <v>6111</v>
      </c>
      <c r="F2783" t="s">
        <v>6112</v>
      </c>
    </row>
    <row r="2784" spans="1:8" x14ac:dyDescent="0.55000000000000004">
      <c r="A2784" t="str">
        <f t="shared" si="86"/>
        <v>61</v>
      </c>
      <c r="B2784" t="str">
        <f>"61.1911"</f>
        <v>61.1911</v>
      </c>
      <c r="C2784" t="s">
        <v>173</v>
      </c>
      <c r="D2784" t="s">
        <v>9</v>
      </c>
      <c r="E2784" t="s">
        <v>6113</v>
      </c>
      <c r="F2784" t="s">
        <v>6114</v>
      </c>
      <c r="H2784" t="s">
        <v>6115</v>
      </c>
    </row>
    <row r="2785" spans="1:8" x14ac:dyDescent="0.55000000000000004">
      <c r="A2785" t="str">
        <f t="shared" si="86"/>
        <v>61</v>
      </c>
      <c r="B2785" t="str">
        <f>"61.1912"</f>
        <v>61.1912</v>
      </c>
      <c r="C2785" t="s">
        <v>173</v>
      </c>
      <c r="D2785" t="s">
        <v>9</v>
      </c>
      <c r="E2785" t="s">
        <v>6116</v>
      </c>
      <c r="F2785" t="s">
        <v>6117</v>
      </c>
    </row>
    <row r="2786" spans="1:8" x14ac:dyDescent="0.55000000000000004">
      <c r="A2786" t="str">
        <f t="shared" si="86"/>
        <v>61</v>
      </c>
      <c r="B2786" t="str">
        <f>"61.1913"</f>
        <v>61.1913</v>
      </c>
      <c r="C2786" t="s">
        <v>173</v>
      </c>
      <c r="D2786" t="s">
        <v>9</v>
      </c>
      <c r="E2786" t="s">
        <v>6118</v>
      </c>
      <c r="F2786" t="s">
        <v>6119</v>
      </c>
    </row>
    <row r="2787" spans="1:8" x14ac:dyDescent="0.55000000000000004">
      <c r="A2787" t="str">
        <f t="shared" si="86"/>
        <v>61</v>
      </c>
      <c r="B2787" t="str">
        <f>"61.1914"</f>
        <v>61.1914</v>
      </c>
      <c r="C2787" t="s">
        <v>173</v>
      </c>
      <c r="D2787" t="s">
        <v>9</v>
      </c>
      <c r="E2787" t="s">
        <v>6120</v>
      </c>
      <c r="F2787" t="s">
        <v>6121</v>
      </c>
    </row>
    <row r="2788" spans="1:8" x14ac:dyDescent="0.55000000000000004">
      <c r="A2788" t="str">
        <f t="shared" si="86"/>
        <v>61</v>
      </c>
      <c r="B2788" t="str">
        <f>"61.1915"</f>
        <v>61.1915</v>
      </c>
      <c r="C2788" t="s">
        <v>173</v>
      </c>
      <c r="D2788" t="s">
        <v>9</v>
      </c>
      <c r="E2788" t="s">
        <v>6122</v>
      </c>
      <c r="F2788" t="s">
        <v>6123</v>
      </c>
    </row>
    <row r="2789" spans="1:8" x14ac:dyDescent="0.55000000000000004">
      <c r="A2789" t="str">
        <f t="shared" si="86"/>
        <v>61</v>
      </c>
      <c r="B2789" t="str">
        <f>"61.1917"</f>
        <v>61.1917</v>
      </c>
      <c r="C2789" t="s">
        <v>173</v>
      </c>
      <c r="D2789" t="s">
        <v>9</v>
      </c>
      <c r="E2789" t="s">
        <v>6124</v>
      </c>
      <c r="F2789" t="s">
        <v>6125</v>
      </c>
    </row>
    <row r="2790" spans="1:8" x14ac:dyDescent="0.55000000000000004">
      <c r="A2790" t="str">
        <f t="shared" si="86"/>
        <v>61</v>
      </c>
      <c r="B2790" t="str">
        <f>"61.1999"</f>
        <v>61.1999</v>
      </c>
      <c r="C2790" t="s">
        <v>47</v>
      </c>
      <c r="D2790" t="s">
        <v>12</v>
      </c>
      <c r="E2790" t="s">
        <v>6126</v>
      </c>
      <c r="F2790" t="s">
        <v>6127</v>
      </c>
    </row>
    <row r="2791" spans="1:8" x14ac:dyDescent="0.55000000000000004">
      <c r="A2791" t="str">
        <f t="shared" si="86"/>
        <v>61</v>
      </c>
      <c r="B2791" t="str">
        <f>"61.20"</f>
        <v>61.20</v>
      </c>
      <c r="C2791" t="s">
        <v>47</v>
      </c>
      <c r="D2791" t="s">
        <v>12</v>
      </c>
      <c r="E2791" t="s">
        <v>6128</v>
      </c>
      <c r="F2791" t="s">
        <v>6129</v>
      </c>
    </row>
    <row r="2792" spans="1:8" x14ac:dyDescent="0.55000000000000004">
      <c r="A2792" t="str">
        <f t="shared" si="86"/>
        <v>61</v>
      </c>
      <c r="B2792" t="str">
        <f>"61.2001"</f>
        <v>61.2001</v>
      </c>
      <c r="C2792" t="s">
        <v>173</v>
      </c>
      <c r="D2792" t="s">
        <v>12</v>
      </c>
      <c r="E2792" t="s">
        <v>5361</v>
      </c>
      <c r="F2792" t="s">
        <v>6130</v>
      </c>
      <c r="H2792" t="s">
        <v>6131</v>
      </c>
    </row>
    <row r="2793" spans="1:8" x14ac:dyDescent="0.55000000000000004">
      <c r="A2793" t="str">
        <f t="shared" si="86"/>
        <v>61</v>
      </c>
      <c r="B2793" t="str">
        <f>"61.2002"</f>
        <v>61.2002</v>
      </c>
      <c r="C2793" t="s">
        <v>173</v>
      </c>
      <c r="D2793" t="s">
        <v>9</v>
      </c>
      <c r="E2793" t="s">
        <v>6132</v>
      </c>
      <c r="F2793" t="s">
        <v>6133</v>
      </c>
    </row>
    <row r="2794" spans="1:8" x14ac:dyDescent="0.55000000000000004">
      <c r="A2794" t="str">
        <f t="shared" si="86"/>
        <v>61</v>
      </c>
      <c r="B2794" t="str">
        <f>"61.2003"</f>
        <v>61.2003</v>
      </c>
      <c r="C2794" t="s">
        <v>173</v>
      </c>
      <c r="D2794" t="s">
        <v>9</v>
      </c>
      <c r="E2794" t="s">
        <v>6134</v>
      </c>
      <c r="F2794" t="s">
        <v>6135</v>
      </c>
    </row>
    <row r="2795" spans="1:8" x14ac:dyDescent="0.55000000000000004">
      <c r="A2795" t="str">
        <f t="shared" si="86"/>
        <v>61</v>
      </c>
      <c r="B2795" t="str">
        <f>"61.2099"</f>
        <v>61.2099</v>
      </c>
      <c r="C2795" t="s">
        <v>47</v>
      </c>
      <c r="D2795" t="s">
        <v>12</v>
      </c>
      <c r="E2795" t="s">
        <v>6136</v>
      </c>
      <c r="F2795" t="s">
        <v>6137</v>
      </c>
    </row>
    <row r="2796" spans="1:8" x14ac:dyDescent="0.55000000000000004">
      <c r="A2796" t="str">
        <f t="shared" si="86"/>
        <v>61</v>
      </c>
      <c r="B2796" t="str">
        <f>"61.21"</f>
        <v>61.21</v>
      </c>
      <c r="C2796" t="s">
        <v>47</v>
      </c>
      <c r="D2796" t="s">
        <v>12</v>
      </c>
      <c r="E2796" t="s">
        <v>6138</v>
      </c>
      <c r="F2796" t="s">
        <v>6139</v>
      </c>
    </row>
    <row r="2797" spans="1:8" x14ac:dyDescent="0.55000000000000004">
      <c r="A2797" t="str">
        <f t="shared" si="86"/>
        <v>61</v>
      </c>
      <c r="B2797" t="str">
        <f>"61.2101"</f>
        <v>61.2101</v>
      </c>
      <c r="C2797" t="s">
        <v>173</v>
      </c>
      <c r="D2797" t="s">
        <v>12</v>
      </c>
      <c r="E2797" t="s">
        <v>5363</v>
      </c>
      <c r="F2797" t="s">
        <v>6140</v>
      </c>
    </row>
    <row r="2798" spans="1:8" x14ac:dyDescent="0.55000000000000004">
      <c r="A2798" t="str">
        <f t="shared" si="86"/>
        <v>61</v>
      </c>
      <c r="B2798" t="str">
        <f>"61.2102"</f>
        <v>61.2102</v>
      </c>
      <c r="C2798" t="s">
        <v>47</v>
      </c>
      <c r="D2798" t="s">
        <v>12</v>
      </c>
      <c r="E2798" t="s">
        <v>6141</v>
      </c>
      <c r="F2798" t="s">
        <v>6142</v>
      </c>
    </row>
    <row r="2799" spans="1:8" x14ac:dyDescent="0.55000000000000004">
      <c r="A2799" t="str">
        <f t="shared" si="86"/>
        <v>61</v>
      </c>
      <c r="B2799" t="str">
        <f>"61.2103"</f>
        <v>61.2103</v>
      </c>
      <c r="C2799" t="s">
        <v>173</v>
      </c>
      <c r="D2799" t="s">
        <v>9</v>
      </c>
      <c r="E2799" t="s">
        <v>6143</v>
      </c>
      <c r="F2799" t="s">
        <v>6144</v>
      </c>
    </row>
    <row r="2800" spans="1:8" x14ac:dyDescent="0.55000000000000004">
      <c r="A2800" t="str">
        <f t="shared" si="86"/>
        <v>61</v>
      </c>
      <c r="B2800" t="str">
        <f>"61.2199"</f>
        <v>61.2199</v>
      </c>
      <c r="C2800" t="s">
        <v>47</v>
      </c>
      <c r="D2800" t="s">
        <v>12</v>
      </c>
      <c r="E2800" t="s">
        <v>6145</v>
      </c>
      <c r="F2800" t="s">
        <v>6146</v>
      </c>
    </row>
    <row r="2801" spans="1:8" x14ac:dyDescent="0.55000000000000004">
      <c r="A2801" t="str">
        <f t="shared" si="86"/>
        <v>61</v>
      </c>
      <c r="B2801" t="str">
        <f>"61.22"</f>
        <v>61.22</v>
      </c>
      <c r="C2801" t="s">
        <v>173</v>
      </c>
      <c r="D2801" t="s">
        <v>9</v>
      </c>
      <c r="E2801" t="s">
        <v>6147</v>
      </c>
      <c r="F2801" t="s">
        <v>6148</v>
      </c>
    </row>
    <row r="2802" spans="1:8" x14ac:dyDescent="0.55000000000000004">
      <c r="A2802" t="str">
        <f t="shared" si="86"/>
        <v>61</v>
      </c>
      <c r="B2802" t="str">
        <f>"61.2201"</f>
        <v>61.2201</v>
      </c>
      <c r="C2802" t="s">
        <v>47</v>
      </c>
      <c r="D2802" t="s">
        <v>12</v>
      </c>
      <c r="E2802" t="s">
        <v>6149</v>
      </c>
      <c r="F2802" t="s">
        <v>6150</v>
      </c>
    </row>
    <row r="2803" spans="1:8" x14ac:dyDescent="0.55000000000000004">
      <c r="A2803" t="str">
        <f t="shared" si="86"/>
        <v>61</v>
      </c>
      <c r="B2803" t="str">
        <f>"61.2299"</f>
        <v>61.2299</v>
      </c>
      <c r="C2803" t="s">
        <v>47</v>
      </c>
      <c r="D2803" t="s">
        <v>12</v>
      </c>
      <c r="E2803" t="s">
        <v>6151</v>
      </c>
      <c r="F2803" t="s">
        <v>6152</v>
      </c>
    </row>
    <row r="2804" spans="1:8" x14ac:dyDescent="0.55000000000000004">
      <c r="A2804" t="str">
        <f t="shared" si="86"/>
        <v>61</v>
      </c>
      <c r="B2804" t="str">
        <f>"61.23"</f>
        <v>61.23</v>
      </c>
      <c r="C2804" t="s">
        <v>47</v>
      </c>
      <c r="D2804" t="s">
        <v>12</v>
      </c>
      <c r="E2804" t="s">
        <v>6153</v>
      </c>
      <c r="F2804" t="s">
        <v>6154</v>
      </c>
    </row>
    <row r="2805" spans="1:8" x14ac:dyDescent="0.55000000000000004">
      <c r="A2805" t="str">
        <f t="shared" si="86"/>
        <v>61</v>
      </c>
      <c r="B2805" t="str">
        <f>"61.2301"</f>
        <v>61.2301</v>
      </c>
      <c r="C2805" t="s">
        <v>173</v>
      </c>
      <c r="D2805" t="s">
        <v>12</v>
      </c>
      <c r="E2805" t="s">
        <v>5367</v>
      </c>
      <c r="F2805" t="s">
        <v>6155</v>
      </c>
      <c r="H2805" t="s">
        <v>6156</v>
      </c>
    </row>
    <row r="2806" spans="1:8" x14ac:dyDescent="0.55000000000000004">
      <c r="A2806" t="str">
        <f t="shared" si="86"/>
        <v>61</v>
      </c>
      <c r="B2806" t="str">
        <f>"61.2302"</f>
        <v>61.2302</v>
      </c>
      <c r="C2806" t="s">
        <v>173</v>
      </c>
      <c r="D2806" t="s">
        <v>12</v>
      </c>
      <c r="E2806" t="s">
        <v>5312</v>
      </c>
      <c r="F2806" t="s">
        <v>6157</v>
      </c>
    </row>
    <row r="2807" spans="1:8" x14ac:dyDescent="0.55000000000000004">
      <c r="A2807" t="str">
        <f t="shared" si="86"/>
        <v>61</v>
      </c>
      <c r="B2807" t="str">
        <f>"61.2303"</f>
        <v>61.2303</v>
      </c>
      <c r="C2807" t="s">
        <v>173</v>
      </c>
      <c r="D2807" t="s">
        <v>12</v>
      </c>
      <c r="E2807" t="s">
        <v>5349</v>
      </c>
      <c r="F2807" t="s">
        <v>6158</v>
      </c>
    </row>
    <row r="2808" spans="1:8" x14ac:dyDescent="0.55000000000000004">
      <c r="A2808" t="str">
        <f t="shared" si="86"/>
        <v>61</v>
      </c>
      <c r="B2808" t="str">
        <f>"61.2399"</f>
        <v>61.2399</v>
      </c>
      <c r="C2808" t="s">
        <v>47</v>
      </c>
      <c r="D2808" t="s">
        <v>12</v>
      </c>
      <c r="E2808" t="s">
        <v>6159</v>
      </c>
      <c r="F2808" t="s">
        <v>6160</v>
      </c>
    </row>
    <row r="2809" spans="1:8" x14ac:dyDescent="0.55000000000000004">
      <c r="A2809" t="str">
        <f t="shared" si="86"/>
        <v>61</v>
      </c>
      <c r="B2809" t="str">
        <f>"61.24"</f>
        <v>61.24</v>
      </c>
      <c r="C2809" t="s">
        <v>47</v>
      </c>
      <c r="D2809" t="s">
        <v>12</v>
      </c>
      <c r="E2809" t="s">
        <v>6161</v>
      </c>
      <c r="F2809" t="s">
        <v>6162</v>
      </c>
    </row>
    <row r="2810" spans="1:8" x14ac:dyDescent="0.55000000000000004">
      <c r="A2810" t="str">
        <f t="shared" si="86"/>
        <v>61</v>
      </c>
      <c r="B2810" t="str">
        <f>"61.2401"</f>
        <v>61.2401</v>
      </c>
      <c r="C2810" t="s">
        <v>173</v>
      </c>
      <c r="D2810" t="s">
        <v>12</v>
      </c>
      <c r="E2810" t="s">
        <v>5365</v>
      </c>
      <c r="F2810" t="s">
        <v>6163</v>
      </c>
    </row>
    <row r="2811" spans="1:8" x14ac:dyDescent="0.55000000000000004">
      <c r="A2811" t="str">
        <f t="shared" si="86"/>
        <v>61</v>
      </c>
      <c r="B2811" t="str">
        <f>"61.2402"</f>
        <v>61.2402</v>
      </c>
      <c r="C2811" t="s">
        <v>173</v>
      </c>
      <c r="D2811" t="s">
        <v>9</v>
      </c>
      <c r="E2811" t="s">
        <v>6164</v>
      </c>
      <c r="F2811" t="s">
        <v>6165</v>
      </c>
    </row>
    <row r="2812" spans="1:8" x14ac:dyDescent="0.55000000000000004">
      <c r="A2812" t="str">
        <f t="shared" si="86"/>
        <v>61</v>
      </c>
      <c r="B2812" t="str">
        <f>"61.2403"</f>
        <v>61.2403</v>
      </c>
      <c r="C2812" t="s">
        <v>173</v>
      </c>
      <c r="D2812" t="s">
        <v>9</v>
      </c>
      <c r="E2812" t="s">
        <v>6166</v>
      </c>
      <c r="F2812" t="s">
        <v>6167</v>
      </c>
      <c r="H2812" t="s">
        <v>6168</v>
      </c>
    </row>
    <row r="2813" spans="1:8" x14ac:dyDescent="0.55000000000000004">
      <c r="A2813" t="str">
        <f t="shared" si="86"/>
        <v>61</v>
      </c>
      <c r="B2813" t="str">
        <f>"61.2404"</f>
        <v>61.2404</v>
      </c>
      <c r="C2813" t="s">
        <v>173</v>
      </c>
      <c r="D2813" t="s">
        <v>9</v>
      </c>
      <c r="E2813" t="s">
        <v>6169</v>
      </c>
      <c r="F2813" t="s">
        <v>6170</v>
      </c>
      <c r="H2813" t="s">
        <v>6171</v>
      </c>
    </row>
    <row r="2814" spans="1:8" x14ac:dyDescent="0.55000000000000004">
      <c r="A2814" t="str">
        <f t="shared" si="86"/>
        <v>61</v>
      </c>
      <c r="B2814" t="str">
        <f>"61.2405"</f>
        <v>61.2405</v>
      </c>
      <c r="C2814" t="s">
        <v>173</v>
      </c>
      <c r="D2814" t="s">
        <v>9</v>
      </c>
      <c r="E2814" t="s">
        <v>6172</v>
      </c>
      <c r="F2814" t="s">
        <v>6173</v>
      </c>
    </row>
    <row r="2815" spans="1:8" x14ac:dyDescent="0.55000000000000004">
      <c r="A2815" t="str">
        <f t="shared" si="86"/>
        <v>61</v>
      </c>
      <c r="B2815" t="str">
        <f>"61.2406"</f>
        <v>61.2406</v>
      </c>
      <c r="C2815" t="s">
        <v>173</v>
      </c>
      <c r="D2815" t="s">
        <v>9</v>
      </c>
      <c r="E2815" t="s">
        <v>6174</v>
      </c>
      <c r="F2815" t="s">
        <v>6175</v>
      </c>
    </row>
    <row r="2816" spans="1:8" x14ac:dyDescent="0.55000000000000004">
      <c r="A2816" t="str">
        <f t="shared" si="86"/>
        <v>61</v>
      </c>
      <c r="B2816" t="str">
        <f>"61.2499"</f>
        <v>61.2499</v>
      </c>
      <c r="C2816" t="s">
        <v>47</v>
      </c>
      <c r="D2816" t="s">
        <v>12</v>
      </c>
      <c r="E2816" t="s">
        <v>6176</v>
      </c>
      <c r="F2816" t="s">
        <v>6177</v>
      </c>
    </row>
    <row r="2817" spans="1:6" x14ac:dyDescent="0.55000000000000004">
      <c r="A2817" t="str">
        <f t="shared" si="86"/>
        <v>61</v>
      </c>
      <c r="B2817" t="str">
        <f>"61.25"</f>
        <v>61.25</v>
      </c>
      <c r="C2817" t="s">
        <v>47</v>
      </c>
      <c r="D2817" t="s">
        <v>12</v>
      </c>
      <c r="E2817" t="s">
        <v>6178</v>
      </c>
      <c r="F2817" t="s">
        <v>6179</v>
      </c>
    </row>
    <row r="2818" spans="1:6" x14ac:dyDescent="0.55000000000000004">
      <c r="A2818" t="str">
        <f t="shared" si="86"/>
        <v>61</v>
      </c>
      <c r="B2818" t="str">
        <f>"61.2501"</f>
        <v>61.2501</v>
      </c>
      <c r="C2818" t="s">
        <v>173</v>
      </c>
      <c r="D2818" t="s">
        <v>12</v>
      </c>
      <c r="E2818" t="s">
        <v>5369</v>
      </c>
      <c r="F2818" t="s">
        <v>6180</v>
      </c>
    </row>
    <row r="2819" spans="1:6" x14ac:dyDescent="0.55000000000000004">
      <c r="A2819" t="str">
        <f t="shared" si="86"/>
        <v>61</v>
      </c>
      <c r="B2819" t="str">
        <f>"61.2599"</f>
        <v>61.2599</v>
      </c>
      <c r="C2819" t="s">
        <v>47</v>
      </c>
      <c r="D2819" t="s">
        <v>12</v>
      </c>
      <c r="E2819" t="s">
        <v>6181</v>
      </c>
      <c r="F2819" t="s">
        <v>6182</v>
      </c>
    </row>
    <row r="2820" spans="1:6" x14ac:dyDescent="0.55000000000000004">
      <c r="A2820" t="str">
        <f t="shared" si="86"/>
        <v>61</v>
      </c>
      <c r="B2820" t="str">
        <f>"61.26"</f>
        <v>61.26</v>
      </c>
      <c r="C2820" t="s">
        <v>47</v>
      </c>
      <c r="D2820" t="s">
        <v>12</v>
      </c>
      <c r="E2820" t="s">
        <v>6183</v>
      </c>
      <c r="F2820" t="s">
        <v>6184</v>
      </c>
    </row>
    <row r="2821" spans="1:6" x14ac:dyDescent="0.55000000000000004">
      <c r="A2821" t="str">
        <f t="shared" si="86"/>
        <v>61</v>
      </c>
      <c r="B2821" t="str">
        <f>"61.2601"</f>
        <v>61.2601</v>
      </c>
      <c r="C2821" t="s">
        <v>173</v>
      </c>
      <c r="D2821" t="s">
        <v>12</v>
      </c>
      <c r="E2821" t="s">
        <v>5331</v>
      </c>
      <c r="F2821" t="s">
        <v>6185</v>
      </c>
    </row>
    <row r="2822" spans="1:6" x14ac:dyDescent="0.55000000000000004">
      <c r="A2822" t="str">
        <f t="shared" ref="A2822:A2849" si="87">"61"</f>
        <v>61</v>
      </c>
      <c r="B2822" t="str">
        <f>"61.2602"</f>
        <v>61.2602</v>
      </c>
      <c r="C2822" t="s">
        <v>47</v>
      </c>
      <c r="D2822" t="s">
        <v>12</v>
      </c>
      <c r="E2822" t="s">
        <v>6186</v>
      </c>
      <c r="F2822" t="s">
        <v>6187</v>
      </c>
    </row>
    <row r="2823" spans="1:6" x14ac:dyDescent="0.55000000000000004">
      <c r="A2823" t="str">
        <f t="shared" si="87"/>
        <v>61</v>
      </c>
      <c r="B2823" t="str">
        <f>"61.2603"</f>
        <v>61.2603</v>
      </c>
      <c r="C2823" t="s">
        <v>47</v>
      </c>
      <c r="D2823" t="s">
        <v>12</v>
      </c>
      <c r="E2823" t="s">
        <v>6188</v>
      </c>
      <c r="F2823" t="s">
        <v>6189</v>
      </c>
    </row>
    <row r="2824" spans="1:6" x14ac:dyDescent="0.55000000000000004">
      <c r="A2824" t="str">
        <f t="shared" si="87"/>
        <v>61</v>
      </c>
      <c r="B2824" t="str">
        <f>"61.2604"</f>
        <v>61.2604</v>
      </c>
      <c r="C2824" t="s">
        <v>173</v>
      </c>
      <c r="D2824" t="s">
        <v>12</v>
      </c>
      <c r="E2824" t="s">
        <v>5409</v>
      </c>
      <c r="F2824" t="s">
        <v>6190</v>
      </c>
    </row>
    <row r="2825" spans="1:6" x14ac:dyDescent="0.55000000000000004">
      <c r="A2825" t="str">
        <f t="shared" si="87"/>
        <v>61</v>
      </c>
      <c r="B2825" t="str">
        <f>"61.2605"</f>
        <v>61.2605</v>
      </c>
      <c r="C2825" t="s">
        <v>173</v>
      </c>
      <c r="D2825" t="s">
        <v>12</v>
      </c>
      <c r="E2825" t="s">
        <v>5445</v>
      </c>
      <c r="F2825" t="s">
        <v>6191</v>
      </c>
    </row>
    <row r="2826" spans="1:6" x14ac:dyDescent="0.55000000000000004">
      <c r="A2826" t="str">
        <f t="shared" si="87"/>
        <v>61</v>
      </c>
      <c r="B2826" t="str">
        <f>"61.2606"</f>
        <v>61.2606</v>
      </c>
      <c r="C2826" t="s">
        <v>47</v>
      </c>
      <c r="D2826" t="s">
        <v>12</v>
      </c>
      <c r="E2826" t="s">
        <v>6192</v>
      </c>
      <c r="F2826" t="s">
        <v>6193</v>
      </c>
    </row>
    <row r="2827" spans="1:6" x14ac:dyDescent="0.55000000000000004">
      <c r="A2827" t="str">
        <f t="shared" si="87"/>
        <v>61</v>
      </c>
      <c r="B2827" t="str">
        <f>"61.2607"</f>
        <v>61.2607</v>
      </c>
      <c r="C2827" t="s">
        <v>173</v>
      </c>
      <c r="D2827" t="s">
        <v>9</v>
      </c>
      <c r="E2827" t="s">
        <v>6194</v>
      </c>
      <c r="F2827" t="s">
        <v>6195</v>
      </c>
    </row>
    <row r="2828" spans="1:6" x14ac:dyDescent="0.55000000000000004">
      <c r="A2828" t="str">
        <f t="shared" si="87"/>
        <v>61</v>
      </c>
      <c r="B2828" t="str">
        <f>"61.2608"</f>
        <v>61.2608</v>
      </c>
      <c r="C2828" t="s">
        <v>173</v>
      </c>
      <c r="D2828" t="s">
        <v>9</v>
      </c>
      <c r="E2828" t="s">
        <v>6196</v>
      </c>
      <c r="F2828" t="s">
        <v>6197</v>
      </c>
    </row>
    <row r="2829" spans="1:6" x14ac:dyDescent="0.55000000000000004">
      <c r="A2829" t="str">
        <f t="shared" si="87"/>
        <v>61</v>
      </c>
      <c r="B2829" t="str">
        <f>"61.2609"</f>
        <v>61.2609</v>
      </c>
      <c r="C2829" t="s">
        <v>173</v>
      </c>
      <c r="D2829" t="s">
        <v>9</v>
      </c>
      <c r="E2829" t="s">
        <v>6198</v>
      </c>
      <c r="F2829" t="s">
        <v>6199</v>
      </c>
    </row>
    <row r="2830" spans="1:6" x14ac:dyDescent="0.55000000000000004">
      <c r="A2830" t="str">
        <f t="shared" si="87"/>
        <v>61</v>
      </c>
      <c r="B2830" t="str">
        <f>"61.2610"</f>
        <v>61.2610</v>
      </c>
      <c r="C2830" t="s">
        <v>173</v>
      </c>
      <c r="D2830" t="s">
        <v>12</v>
      </c>
      <c r="E2830" t="s">
        <v>5371</v>
      </c>
      <c r="F2830" t="s">
        <v>6200</v>
      </c>
    </row>
    <row r="2831" spans="1:6" x14ac:dyDescent="0.55000000000000004">
      <c r="A2831" t="str">
        <f t="shared" si="87"/>
        <v>61</v>
      </c>
      <c r="B2831" t="str">
        <f>"61.2611"</f>
        <v>61.2611</v>
      </c>
      <c r="C2831" t="s">
        <v>173</v>
      </c>
      <c r="D2831" t="s">
        <v>12</v>
      </c>
      <c r="E2831" t="s">
        <v>5539</v>
      </c>
      <c r="F2831" t="s">
        <v>6201</v>
      </c>
    </row>
    <row r="2832" spans="1:6" x14ac:dyDescent="0.55000000000000004">
      <c r="A2832" t="str">
        <f t="shared" si="87"/>
        <v>61</v>
      </c>
      <c r="B2832" t="str">
        <f>"61.2612"</f>
        <v>61.2612</v>
      </c>
      <c r="C2832" t="s">
        <v>173</v>
      </c>
      <c r="D2832" t="s">
        <v>9</v>
      </c>
      <c r="E2832" t="s">
        <v>6202</v>
      </c>
      <c r="F2832" t="s">
        <v>6203</v>
      </c>
    </row>
    <row r="2833" spans="1:8" x14ac:dyDescent="0.55000000000000004">
      <c r="A2833" t="str">
        <f t="shared" si="87"/>
        <v>61</v>
      </c>
      <c r="B2833" t="str">
        <f>"61.2699"</f>
        <v>61.2699</v>
      </c>
      <c r="C2833" t="s">
        <v>47</v>
      </c>
      <c r="D2833" t="s">
        <v>12</v>
      </c>
      <c r="E2833" t="s">
        <v>6204</v>
      </c>
      <c r="F2833" t="s">
        <v>6205</v>
      </c>
    </row>
    <row r="2834" spans="1:8" x14ac:dyDescent="0.55000000000000004">
      <c r="A2834" t="str">
        <f t="shared" si="87"/>
        <v>61</v>
      </c>
      <c r="B2834" t="str">
        <f>"61.27"</f>
        <v>61.27</v>
      </c>
      <c r="C2834" t="s">
        <v>47</v>
      </c>
      <c r="D2834" t="s">
        <v>12</v>
      </c>
      <c r="E2834" t="s">
        <v>6206</v>
      </c>
      <c r="F2834" t="s">
        <v>6207</v>
      </c>
    </row>
    <row r="2835" spans="1:8" x14ac:dyDescent="0.55000000000000004">
      <c r="A2835" t="str">
        <f t="shared" si="87"/>
        <v>61</v>
      </c>
      <c r="B2835" t="str">
        <f>"61.2701"</f>
        <v>61.2701</v>
      </c>
      <c r="C2835" t="s">
        <v>173</v>
      </c>
      <c r="D2835" t="s">
        <v>12</v>
      </c>
      <c r="E2835" t="s">
        <v>5337</v>
      </c>
      <c r="F2835" t="s">
        <v>6208</v>
      </c>
      <c r="H2835" t="s">
        <v>6209</v>
      </c>
    </row>
    <row r="2836" spans="1:8" x14ac:dyDescent="0.55000000000000004">
      <c r="A2836" t="str">
        <f t="shared" si="87"/>
        <v>61</v>
      </c>
      <c r="B2836" t="str">
        <f>"61.2702"</f>
        <v>61.2702</v>
      </c>
      <c r="C2836" t="s">
        <v>173</v>
      </c>
      <c r="D2836" t="s">
        <v>9</v>
      </c>
      <c r="E2836" t="s">
        <v>5327</v>
      </c>
      <c r="F2836" t="s">
        <v>6210</v>
      </c>
    </row>
    <row r="2837" spans="1:8" x14ac:dyDescent="0.55000000000000004">
      <c r="A2837" t="str">
        <f t="shared" si="87"/>
        <v>61</v>
      </c>
      <c r="B2837" t="str">
        <f>"61.2703"</f>
        <v>61.2703</v>
      </c>
      <c r="C2837" t="s">
        <v>47</v>
      </c>
      <c r="D2837" t="s">
        <v>12</v>
      </c>
      <c r="E2837" t="s">
        <v>6211</v>
      </c>
      <c r="F2837" t="s">
        <v>6212</v>
      </c>
    </row>
    <row r="2838" spans="1:8" x14ac:dyDescent="0.55000000000000004">
      <c r="A2838" t="str">
        <f t="shared" si="87"/>
        <v>61</v>
      </c>
      <c r="B2838" t="str">
        <f>"61.2704"</f>
        <v>61.2704</v>
      </c>
      <c r="C2838" t="s">
        <v>173</v>
      </c>
      <c r="D2838" t="s">
        <v>9</v>
      </c>
      <c r="E2838" t="s">
        <v>6213</v>
      </c>
      <c r="F2838" t="s">
        <v>6214</v>
      </c>
    </row>
    <row r="2839" spans="1:8" x14ac:dyDescent="0.55000000000000004">
      <c r="A2839" t="str">
        <f t="shared" si="87"/>
        <v>61</v>
      </c>
      <c r="B2839" t="str">
        <f>"61.2705"</f>
        <v>61.2705</v>
      </c>
      <c r="C2839" t="s">
        <v>173</v>
      </c>
      <c r="D2839" t="s">
        <v>9</v>
      </c>
      <c r="E2839" t="s">
        <v>6215</v>
      </c>
      <c r="F2839" t="s">
        <v>6216</v>
      </c>
    </row>
    <row r="2840" spans="1:8" x14ac:dyDescent="0.55000000000000004">
      <c r="A2840" t="str">
        <f t="shared" si="87"/>
        <v>61</v>
      </c>
      <c r="B2840" t="str">
        <f>"61.2706"</f>
        <v>61.2706</v>
      </c>
      <c r="C2840" t="s">
        <v>173</v>
      </c>
      <c r="D2840" t="s">
        <v>9</v>
      </c>
      <c r="E2840" t="s">
        <v>6217</v>
      </c>
      <c r="F2840" t="s">
        <v>6218</v>
      </c>
      <c r="H2840" t="s">
        <v>6219</v>
      </c>
    </row>
    <row r="2841" spans="1:8" x14ac:dyDescent="0.55000000000000004">
      <c r="A2841" t="str">
        <f t="shared" si="87"/>
        <v>61</v>
      </c>
      <c r="B2841" t="str">
        <f>"61.2707"</f>
        <v>61.2707</v>
      </c>
      <c r="C2841" t="s">
        <v>173</v>
      </c>
      <c r="D2841" t="s">
        <v>9</v>
      </c>
      <c r="E2841" t="s">
        <v>6220</v>
      </c>
      <c r="F2841" t="s">
        <v>6221</v>
      </c>
      <c r="H2841" t="s">
        <v>6222</v>
      </c>
    </row>
    <row r="2842" spans="1:8" x14ac:dyDescent="0.55000000000000004">
      <c r="A2842" t="str">
        <f t="shared" si="87"/>
        <v>61</v>
      </c>
      <c r="B2842" t="str">
        <f>"61.2708"</f>
        <v>61.2708</v>
      </c>
      <c r="C2842" t="s">
        <v>173</v>
      </c>
      <c r="D2842" t="s">
        <v>9</v>
      </c>
      <c r="E2842" t="s">
        <v>6223</v>
      </c>
      <c r="F2842" t="s">
        <v>6224</v>
      </c>
    </row>
    <row r="2843" spans="1:8" x14ac:dyDescent="0.55000000000000004">
      <c r="A2843" t="str">
        <f t="shared" si="87"/>
        <v>61</v>
      </c>
      <c r="B2843" t="str">
        <f>"61.2799"</f>
        <v>61.2799</v>
      </c>
      <c r="C2843" t="s">
        <v>47</v>
      </c>
      <c r="D2843" t="s">
        <v>12</v>
      </c>
      <c r="E2843" t="s">
        <v>6225</v>
      </c>
      <c r="F2843" t="s">
        <v>6226</v>
      </c>
    </row>
    <row r="2844" spans="1:8" x14ac:dyDescent="0.55000000000000004">
      <c r="A2844" t="str">
        <f t="shared" si="87"/>
        <v>61</v>
      </c>
      <c r="B2844" t="str">
        <f>"61.28"</f>
        <v>61.28</v>
      </c>
      <c r="C2844" t="s">
        <v>47</v>
      </c>
      <c r="D2844" t="s">
        <v>12</v>
      </c>
      <c r="E2844" t="s">
        <v>6227</v>
      </c>
      <c r="F2844" t="s">
        <v>6228</v>
      </c>
    </row>
    <row r="2845" spans="1:8" x14ac:dyDescent="0.55000000000000004">
      <c r="A2845" t="str">
        <f t="shared" si="87"/>
        <v>61</v>
      </c>
      <c r="B2845" t="str">
        <f>"61.2801"</f>
        <v>61.2801</v>
      </c>
      <c r="C2845" t="s">
        <v>173</v>
      </c>
      <c r="D2845" t="s">
        <v>9</v>
      </c>
      <c r="E2845" t="s">
        <v>5375</v>
      </c>
      <c r="F2845" t="s">
        <v>6229</v>
      </c>
    </row>
    <row r="2846" spans="1:8" x14ac:dyDescent="0.55000000000000004">
      <c r="A2846" t="str">
        <f t="shared" si="87"/>
        <v>61</v>
      </c>
      <c r="B2846" t="str">
        <f>"61.2802"</f>
        <v>61.2802</v>
      </c>
      <c r="C2846" t="s">
        <v>173</v>
      </c>
      <c r="D2846" t="s">
        <v>9</v>
      </c>
      <c r="E2846" t="s">
        <v>6230</v>
      </c>
      <c r="F2846" t="s">
        <v>6231</v>
      </c>
    </row>
    <row r="2847" spans="1:8" x14ac:dyDescent="0.55000000000000004">
      <c r="A2847" t="str">
        <f t="shared" si="87"/>
        <v>61</v>
      </c>
      <c r="B2847" t="str">
        <f>"61.2899"</f>
        <v>61.2899</v>
      </c>
      <c r="C2847" t="s">
        <v>47</v>
      </c>
      <c r="D2847" t="s">
        <v>12</v>
      </c>
      <c r="E2847" t="s">
        <v>6232</v>
      </c>
      <c r="F2847" t="s">
        <v>6233</v>
      </c>
    </row>
    <row r="2848" spans="1:8" x14ac:dyDescent="0.55000000000000004">
      <c r="A2848" t="str">
        <f t="shared" si="87"/>
        <v>61</v>
      </c>
      <c r="B2848" t="str">
        <f>"61.99"</f>
        <v>61.99</v>
      </c>
      <c r="C2848" t="s">
        <v>47</v>
      </c>
      <c r="D2848" t="s">
        <v>12</v>
      </c>
      <c r="E2848" t="s">
        <v>6234</v>
      </c>
      <c r="F2848" t="s">
        <v>6235</v>
      </c>
    </row>
    <row r="2849" spans="1:6" x14ac:dyDescent="0.55000000000000004">
      <c r="A2849" t="str">
        <f t="shared" si="87"/>
        <v>61</v>
      </c>
      <c r="B2849" t="str">
        <f>"61.9999"</f>
        <v>61.9999</v>
      </c>
      <c r="C2849" t="s">
        <v>47</v>
      </c>
      <c r="D2849" t="s">
        <v>12</v>
      </c>
      <c r="E2849" t="s">
        <v>6234</v>
      </c>
      <c r="F2849" t="s">
        <v>6236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CIPCode2020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Shahzaib ijaz</dc:creator>
  <cp:lastModifiedBy>Muhammad Shahzaib ijaz</cp:lastModifiedBy>
  <dcterms:created xsi:type="dcterms:W3CDTF">2025-06-18T15:14:25Z</dcterms:created>
  <dcterms:modified xsi:type="dcterms:W3CDTF">2025-06-18T15:14:25Z</dcterms:modified>
</cp:coreProperties>
</file>